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rael/code/israelroldan/cope/personal/"/>
    </mc:Choice>
  </mc:AlternateContent>
  <xr:revisionPtr revIDLastSave="0" documentId="13_ncr:1_{E232F19B-CE4B-6B41-A8B9-EAEFF0B37115}" xr6:coauthVersionLast="47" xr6:coauthVersionMax="47" xr10:uidLastSave="{00000000-0000-0000-0000-000000000000}"/>
  <bookViews>
    <workbookView xWindow="5760" yWindow="3160" windowWidth="30240" windowHeight="18980" xr2:uid="{00000000-000D-0000-FFFF-FFFF00000000}"/>
  </bookViews>
  <sheets>
    <sheet name="abn" sheetId="1" r:id="rId1"/>
    <sheet name="Fixed Expenses Summary" sheetId="2" r:id="rId2"/>
    <sheet name="creditcard" sheetId="3" r:id="rId3"/>
    <sheet name="Credit Card Summary" sheetId="4" r:id="rId4"/>
    <sheet name="Bunq" sheetId="6" r:id="rId5"/>
    <sheet name="Bunq Summary" sheetId="7" r:id="rId6"/>
  </sheets>
  <definedNames>
    <definedName name="_xlnm._FilterDatabase" localSheetId="4" hidden="1">Bunq!$A$1:$G$589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7" l="1"/>
  <c r="B14" i="7"/>
  <c r="C13" i="7"/>
  <c r="C12" i="7"/>
  <c r="C11" i="7"/>
  <c r="C10" i="7"/>
  <c r="C9" i="7"/>
  <c r="C8" i="7"/>
  <c r="C7" i="7"/>
  <c r="C6" i="7"/>
  <c r="C29" i="4"/>
  <c r="B29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D24" i="2"/>
  <c r="C24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</calcChain>
</file>

<file path=xl/sharedStrings.xml><?xml version="1.0" encoding="utf-8"?>
<sst xmlns="http://schemas.openxmlformats.org/spreadsheetml/2006/main" count="6866" uniqueCount="1297">
  <si>
    <t>Rekeningnummer</t>
  </si>
  <si>
    <t>Muntsoort</t>
  </si>
  <si>
    <t>Transactiedatum</t>
  </si>
  <si>
    <t>Rentedatum</t>
  </si>
  <si>
    <t>Beginsaldo</t>
  </si>
  <si>
    <t>Eindsaldo</t>
  </si>
  <si>
    <t>Transactiebedrag</t>
  </si>
  <si>
    <t>Omschrijving</t>
  </si>
  <si>
    <t>EUR</t>
  </si>
  <si>
    <t>SEPA Overboeking                 IBAN: NL82INGB0008237239        BIC: INGBNL2A                    Naam: FedEx Express Netherlands Omschrijving: Factuurnummer 1313 36682                           Kenmerk: NOTPROVIDED</t>
  </si>
  <si>
    <t>SEPA Overboeking                 IBAN: NL63ABNA0465631533        BIC: ABNANL2A                    Naam: Priverekening             Kenmerk: NOTPROVIDED</t>
  </si>
  <si>
    <t>SEPA Overboeking                 IBAN: NL98RABO0199653682        BIC: RABONL2U                    Naam: Kerstens Hoveniersbedrijf Omschrijving: Factuurnummer 2503 3                               Kenmerk: NOTPROVIDED</t>
  </si>
  <si>
    <t>ABN AMRO Bank N.V.               Account                     1,90</t>
  </si>
  <si>
    <t>SEPA iDEAL                       IBAN: NL04ADYB2017400157        BIC: ADYBNL2A                    Naam: Butlaroo Services B.V.    Omschrijving: W88R4P8PJSFCCSX32K IDS 7180326317031850 Bagel and Juice - Strijp-S                  Kenmerk: 18-09-2025 09:02 7180326317031850</t>
  </si>
  <si>
    <t>SEPA iDEAL                       IBAN: NL04ADYB2017400157        BIC: ADYBNL2A                    Naam: Butlaroo Services B.V.    Omschrijving: Q6HZXPKC8WHJ65Z32K IDS 7180684817121022 Bagel and Juice - Strijp-S                  Kenmerk: 18-09-2025 09:36 7180684817121022</t>
  </si>
  <si>
    <t>SEPA Overboeking                 IBAN: NL04ABNA0121377849        BIC: ABNANL2A                    Naam: Personal account          Kenmerk: NOTPROVIDED</t>
  </si>
  <si>
    <t>SEPA iDEAL                       IBAN: NL56DEUT0265186420        BIC: DEUTNL2A                    Naam: Kentaa - Epilepsiefonds   Omschrijving: D202513960011254 8 030546013512991 EpilepsieLoop 2025 - Inschrijfgeld               Kenmerk: 11-10-2025 11:02 8030546013512991</t>
  </si>
  <si>
    <t>SEPA iDEAL                       IBAN: NL56DEUT0265186420        BIC: DEUTNL2A                    Naam: Kentaa - Epilepsiefonds   Omschrijving: D202513960011258 8 030536937510738 EpilepsieLoop 2025 - Inschrijfgeld               Kenmerk: 11-10-2025 11:04 8030536937510738</t>
  </si>
  <si>
    <t>SEPA iDEAL                       IBAN: NL56DEUT0265186420        BIC: DEUTNL2A                    Naam: Kentaa - Epilepsiefonds   Omschrijving: D202513960011262 8 030424831390384 EpilepsieLoop 2025 - Inschrijfgeld               Kenmerk: 11-10-2025 11:05 8030424831390384</t>
  </si>
  <si>
    <t>/TRTP/iDEAL/IBAN/NL27INGB0000026500/BIC/INGBNL2A/NAME/bol.com  /REMI/P1601512321 7051404225047277 bol.com BUN1801291314773/EREF/16-10-2025 19:50 7051404225047277</t>
  </si>
  <si>
    <t>ABN AMRO Bank N.V.               Account                     3,70</t>
  </si>
  <si>
    <t>OUR REF      TG1909003315317     ORIGINAL MXN          438.984,46RECEIVED AAB EUR       20.000,00 ALL CHARGES ORDERING PARTY      /6441268137                      BEATRIZ LEON ROLDAN             GASTOS FAMILIARES</t>
  </si>
  <si>
    <t>SEPA Overboeking                 IBAN: NL03ABNA0130725854        BIC: ABNANL2A                    Naam: IA ROLDAN LEON            Kenmerk: NOTPROVIDED</t>
  </si>
  <si>
    <t>SEPA Overboeking                 IBAN: NL36ABNA0546511686        BIC: ABNANL2A                    Naam: Vermogens Spaarrekening   Kenmerk: NOTPROVIDED</t>
  </si>
  <si>
    <t>SEPA Overboeking                 IBAN: NL36ABNA0546511686        BIC: ABNANL2A                    Naam: IA ROLDAN LEON CJ         Kenmerk: NOTPROVIDED</t>
  </si>
  <si>
    <t>/TRTP/iDEAL/IBAN/NL04ADYB2017400157/BIC/ADYBNL2A/NAME/top-up via bunq/REMI/BGVFSBDQQSFC7CZ3385BK 7180746282663721 NL08BUNQ2038855919 top-up/EREF/03-11-2025 13:30 7180746282663721</t>
  </si>
  <si>
    <t>SEPA Incasso algemeen doorlopend Incassant: NL98ZZZ343342590000  Naam: ABN AMRO BANK NV           Machtiging: ST11107006486070001 Omschrijving: Termijnbetaling hy potheek PERIODE 08-2025         IBAN: NL33ABNA0432408118         Kenmerk: 000003160174509131NL0741</t>
  </si>
  <si>
    <t>SEPA Incasso algemeen doorlopend Incassant: NL75ZZZ170789750000  Naam: VCN Verzekeringen          Machtiging: 000010465631533     Omschrijving: KENMERK 566624 Pak ketpremie Hybride particulier Verzamelnr. 35088965 Vvd. 01-09-20 25 Incasso                      IBAN: NL97INGB0671063480</t>
  </si>
  <si>
    <t>BEA, Apple Pay                   Al Ballon,PAS184                NR:3ZKX0Z, 01.09.25/16:41        EINDHOVEN</t>
  </si>
  <si>
    <t>BEA, Apple Pay                   Q Park Hooghuis,PAS184          NR:CT678455, 02.09.25/21:27      Eindhoven</t>
  </si>
  <si>
    <t>SEPA Incasso algemeen doorlopend Incassant: NL07ZZZ321473820000  Naam: BOLCOM BV                  Machtiging: MAN10235668         Omschrijving: Doorlopend abonnem ent 1 Jaar Select Nederland van bol.com - periode van 29-08-2025  tot 29-08-2026                 IBAN: NL27INGB0000026500</t>
  </si>
  <si>
    <t>SEPA Incasso algemeen doorlopend Incassant: NL32ZZZ160050770000  Naam: Brabant Water              Machtiging: MID07528651.2       Omschrijving: Klant:607528651 FA CT FAC-240717346 BTW  -0,00 5761JA 7                             IBAN: NL60RABO0339601213        Kenmerk: INC038633752-5753184890</t>
  </si>
  <si>
    <t>SEPA Incasso algemeen doorlopend Incassant: NL32ZZZ160050770000  Naam: Brabant Water              Machtiging: MID07528651.2       Omschrijving: Klant:607528651 VO ORSCHOT sep, BTW  -0,00 5761JA 7IBAN: NL60RABO0339601213         Kenmerk: INC038633754-5753184891</t>
  </si>
  <si>
    <t>BEA, Apple Pay                   NETTORAMA 19,PAS184             NR:23T315, 07.09.25/16:50        GEMERT</t>
  </si>
  <si>
    <t>BEA, Apple Pay                   NYX*GebrRegter,PAS184           NR:NY65OUIJ, 07.09.25/17:31      Langenboom</t>
  </si>
  <si>
    <t>SEPA Incasso algemeen doorlopend Incassant: NL15ZZZ243026850000  Naam: GREENCHOICE                Machtiging: 4213775             Omschrijving: Roldan Leon,5761JA  7 , Klantnummer 1124330, Notanummer GC0113017393 van 01 septemb er 2025                         IBAN: NL18INGB0005309282</t>
  </si>
  <si>
    <t>SEPA Incasso algemeen doorlopend Incassant: NL79ZZZ050253590000  Naam: Tinka B.V.                 Machtiging: 1280166993-0        Omschrijving: Betaling vervaldag  02/09/2025 1280166993          IBAN: NL67INGB0002243200         Kenmerk: 1280166993.20250901193404.012</t>
  </si>
  <si>
    <t>BEA, Apple Pay                   Jumbo Bakel Auersch,PAS184      NR:GR0402, 09.09.25/14:05        BAKEL</t>
  </si>
  <si>
    <t>SEPA iDEAL                       IBAN: NL51DEUT0265262461        BIC: DEUTNL2A                    Naam: KLARNA BANK AB via Stichting Mollie Payments               Omschrijving: 51f8220408dd8ab1c5a3a330575b3498 8152694814417479  Klarna klarna.com KLARNA BANK ABKenmerk: 09-09-2025 16:42 815269</t>
  </si>
  <si>
    <t>SEPA Incasso algemeen doorlopend Incassant: NL39KPN271247010001  Naam: KPN - Mobiel               Machtiging: M10026094772        Omschrijving: Factuur 03-09-2025 , klantnummer 40109950659, kpn.com/mobielefactuur.               IBAN: NL83INGB0000325513        Kenmerk: 000001348700958</t>
  </si>
  <si>
    <t>BEA, Apple Pay                   ALBERT HEIJN 1876,PAS184        NR:YL5L37, 10.09.25/13:17        EINDHOVEN</t>
  </si>
  <si>
    <t>BEA, Apple Pay                   LS Il primo ijscafe,PAS184      NR:43343704, 10.09.25/18:08      Helmond</t>
  </si>
  <si>
    <t>BEA, Apple Pay                   Jumbo Bakel Auersch,PAS184      NR:GR0401, 11.09.25/18:42        BAKEL</t>
  </si>
  <si>
    <t>BEA, Apple Pay                   Albert Heijn 1615,PAS184        NR:H0J5VL, 11.09.25/19:12        HELMOND</t>
  </si>
  <si>
    <t>BEA, Apple Pay                   LS Yalla Yalla foodbar,PAS184   NR:44670408, 12.09.25/12:59      Eindhoven</t>
  </si>
  <si>
    <t>SEPA iDEAL                       IBAN: NL51DEUT0265262461        BIC: DEUTNL2A                    Naam: KLARNA BANK AB via Stichting Mollie Payments               Omschrijving: be5b82c7d87095862253497b0efef430 8152574826136625  Klarna klarna.com KLARNA BANK ABKenmerk: 13-09-2025 10:41 815257</t>
  </si>
  <si>
    <t>GEA, Betaalpas                   Geldmaat Sint Wilber 8,PAS184   NR:920548, 13.09.25/12:52        Bakel</t>
  </si>
  <si>
    <t>BEA, Apple Pay                   Jumbo Bakel Auersch,PAS184      NR:GR0401, 13.09.25/14:01        BAKEL</t>
  </si>
  <si>
    <t>SEPA iDEAL                       IBAN: NL56DEUT0265186420        BIC: DEUTNL2A                    Naam: Kentaa - Epilepsiefonds   Omschrijving: D202513960005419 8 030095114102644 EpilepsieLoop 2025 - Inschrijfgeld               Kenmerk: 14-09-2025 12:17 8030095114102644</t>
  </si>
  <si>
    <t>BEA, Apple Pay                   BCK*Decathlon Benelux,PAS184    NR:BS173010, 14.09.25/16:11      EINDHOVEN</t>
  </si>
  <si>
    <t>BEA, Apple Pay                   Q Park Mathildelaan,PAS184      NR:CT678472, 14.09.25/16:20      EINDHOVEN</t>
  </si>
  <si>
    <t>BEA, Apple Pay                   ALDI ROE065 BAKEL,PAS184        NR:BS178733, 14.09.25/16:54      BAKEL</t>
  </si>
  <si>
    <t>SEPA Incasso algemeen doorlopend Incassant: NL39KPN271247010001  Naam: KPN - Mobiel               Machtiging: M10019074063        Omschrijving: Factuur 08-09-2025 , klantnummer 40102619132, kpn.com/mobielefactuur.               IBAN: NL83INGB0000325513        Kenmerk: 000001349362055</t>
  </si>
  <si>
    <t>BEA, Apple Pay                   Jumbo Bakel Auersch,PAS193      NR:GR0401, 15.09.25/08:24        BAKEL</t>
  </si>
  <si>
    <t>SEPA Overboeking                 IBAN: NL36INGB0003445588        BIC: INGBNL2A                    Naam: BELASTINGDIENST           Omschrijving: MAAND SEP. NR. 547 423032H5001 IB/PVV 2025 (ROLDAN LEON )                           Kenmerk: COAXX388237458202509101849412135536</t>
  </si>
  <si>
    <t>BEA, Apple Pay                   CCV*Cafetaria Pizzeria,PAS184   NR:CT495264, 15.09.25/14:49      EINDHOVEN</t>
  </si>
  <si>
    <t>BEA, Apple Pay                   Haarloods BAKEL,PAS184          NR:4T2SRD, 15.09.25/17:51        BAKEL</t>
  </si>
  <si>
    <t>ABN AMRO Bank N.V.               CreditCard                  2,15Basic Package               3,70 Debit card                  1,50</t>
  </si>
  <si>
    <t>BEA, Apple Pay                   Bakels Genot B.V.,PAS184        NR:16619757, 15.09.25/19:50      Bakel</t>
  </si>
  <si>
    <t>SEPA iDEAL                       IBAN: NL51DEUT0265262461        BIC: DEUTNL2A                    Naam: KLARNA BANK AB via Stichting Mollie Payments               Omschrijving: 914edbe8dacdd82ccc75496b7f628d1a 8152916922917127  Klarna klarna.com KLARNA BANK ABKenmerk: 16-09-2025 09:45 815291</t>
  </si>
  <si>
    <t>BEA, Apple Pay                   CCV*AMAZING ORIENTAL E,PAS184   NR:CT689782, 16.09.25/13:10      EINDHOVEN</t>
  </si>
  <si>
    <t>BEA, Apple Pay                   ALDI ROE065 BAKEL,PAS193        NR:BS178732, 16.09.25/13:31      BAKEL</t>
  </si>
  <si>
    <t>BEA, Apple Pay                   Amazing Oriental Eindh,PAS184   NR:P8H92J, 16.09.25/13:46        EINDHOVEN</t>
  </si>
  <si>
    <t>BEA, Apple Pay                   Jumbo Bakel Auersch,PAS184      NR:GR0402, 16.09.25/19:32        BAKEL</t>
  </si>
  <si>
    <t>SEPA Incasso algemeen doorlopend Incassant: NL62ZZZ300756476075  Naam: AEGON LEVENSVERZEKERING    Machtiging: 040000061879        Omschrijving: L61587671 Premie p er 17-09-2025 Overlijdensrisicoverzekering                       IBAN: NL48ABNA0132698897        Kenmerk: IKEN410001853942</t>
  </si>
  <si>
    <t>SEPA iDEAL                       IBAN: NL82DEUT0265254337        BIC: DEUTNL2AXXX                 Naam: Riverty GmbH              Omschrijving: 897f0df58ec0489ba2 027e90254b917d 8152826911093995 Riverty GmbH                     Kenmerk: 17-09-2025 12:04 8152826911093995</t>
  </si>
  <si>
    <t>BEA, Apple Pay                   TK Maxx,PAS184                  NR:06461536, 17.09.25/15:58      Eindhoven Heu</t>
  </si>
  <si>
    <t>BEA, Apple Pay                   DADAWAN Eindhoven,PAS184        NR:47402536, 17.09.25/16:59      Eindhoven</t>
  </si>
  <si>
    <t>BEA, Apple Pay                   Douglas045Eindhoven,PAS184      NR:07112854, 17.09.25/17:14      Eindhoven</t>
  </si>
  <si>
    <t>BEA, Apple Pay                   Q PARK HEUVEL,PAS184            NR:CT698647, 17.09.25/17:23      EINDHOVEN</t>
  </si>
  <si>
    <t>SEPA iDEAL                       IBAN: NL04ADYB2017400157        BIC: ADYBNL2A                    Naam: BEAUTEPRESTIGEINTERNATIONAL                                Omschrijving: BQ5KHKRNCLW44RQ9JEQW 7180915732122801 NARS BE      Kenmerk: 17-09-2025 23:02 7180915732122801</t>
  </si>
  <si>
    <t>BEA, Apple Pay                   BCK*Etos M. Liebregts,PAS184    NR:BS172695, 18.09.25/15:01      HELMOND</t>
  </si>
  <si>
    <t>BEA, Apple Pay                   KIPPERIJ HELMOND,PAS184         NR:50332285, 18.09.25/15:03      HELMOND</t>
  </si>
  <si>
    <t>SEPA iDEAL                       IBAN: NL58CITI2032329913        BIC: CITINL2X                    Naam: RIVER ISLAND              Omschrijving: UFLT8QB 0220385423 031286 www.riverisland.com      Kenmerk: 18-09-2025 22:21 022038 5423031286</t>
  </si>
  <si>
    <t>SEPA Incasso algemeen doorlopend Incassant: NL39KPN271247010001  Naam: KPN - Mobiel               Machtiging: M10022147968        Omschrijving: Factuur 12-09-2025 , klantnummer 40105267125, kpn.com/mobielefactuur.               IBAN: NL83INGB0000325513        Kenmerk: 000001350124695</t>
  </si>
  <si>
    <t>SEPA Incasso algemeen doorlopend Incassant: NL39KPN271247010001  Naam: KPN B.V.                   Machtiging: M10016882311        Omschrijving: Factuur 16-09-2025 , klantnummer 9068692552, kpn.com/thuisfactuur.                  IBAN: NL41INGB0000467598        Kenmerk: 000011365176256</t>
  </si>
  <si>
    <t>BEA, Apple Pay                   SumUp  *2Marias Empana,PAS184   NR:M7NKETPC, 21.09.25/15:14      Best</t>
  </si>
  <si>
    <t>BEA, Apple Pay                   SumUp  *Bishokuya,PAS184        NR:MCELK6LT, 21.09.25/15:31      Zoetermeer</t>
  </si>
  <si>
    <t>BEA, Apple Pay                   Zettle_*De Nieuwe Moes,PAS184   NR:39668212, 21.09.25/15:47      PURMEREND</t>
  </si>
  <si>
    <t>BEA, Apple Pay                   SumUp  *Uomini di Gela,PAS184   NR:MCMVXLTN, 21.09.25/16:02      Tilburg</t>
  </si>
  <si>
    <t>BEA, Apple Pay                   Zettle_*bold  ehv,PAS184        NR:76617023, 21.09.25/16:05      Eindhoven</t>
  </si>
  <si>
    <t>BEA, Apple Pay                   Amac Eindhoven Demer,PAS184     NR:342499, 21.09.25/16:51        Eindhoven</t>
  </si>
  <si>
    <t>BEA, Apple Pay                   Q Park Hooghuis,PAS184          NR:CT678454, 21.09.25/18:04      Eindhoven</t>
  </si>
  <si>
    <t>BEA, Apple Pay                   Bakels Genot B.V.,PAS184        NR:16619757, 22.09.25/20:00      Bakel</t>
  </si>
  <si>
    <t>SEPA Overboeking                 IBAN: NL68ABNA0814325297        BIC: ABNANL2A                    Naam: GOODHABITZ BV             Omschrijving: SALARISBETALING PE RIODE 9                         Kenmerk: 5-3350233-01-75</t>
  </si>
  <si>
    <t>SEPA iDEAL                       IBAN: NL59INGB0705005046        BIC: INGBNL2A                    Naam: CJIB Regeling             Omschrijving: 2601254002852555MT CH000004496947 8153106922861240 2601 2540 0285 2555              Kenmerk: 24-09-2025 12:15 8153106922861240</t>
  </si>
  <si>
    <t>SEPA iDEAL                       IBAN: NL51DEUT0265262461        BIC: DEUTNL2A                    Naam: Invoned via Stichting Mollie Payments                      Omschrijving: de8c1ec2bfd74e8ba37cb3466df5227b 8152864510742014  25694245 invoned.nl Invoned     Kenmerk: 24-09-2025 12:17 815286</t>
  </si>
  <si>
    <t>SEPA Overboeking                 IBAN: NL86INGB0002445588        BIC: INGBNL2A                    Naam: Belastingdienst Apeldoorn Betalingskenm.: 6547423031501240 Kenmerk: 5474.23.032.F.01.5240</t>
  </si>
  <si>
    <t>SEPA iDEAL                       IBAN: NL95ABNA0409617628        BIC: ABNANL2A                    Naam: Eneco eMobility B.V.      Omschrijving: 3108425502X7c1e6 7 370654219803967 R013294 - EM25-332023. EM25-3718                 Kenmerk: 24-09-2025 12:23 7370654219803967</t>
  </si>
  <si>
    <t>BEA, Apple Pay                   CCV*KFC Eindhoven Woen,PAS184   NR:CT820975, 24.09.25/15:51      EINDHOVEN</t>
  </si>
  <si>
    <t>BEA, Apple Pay                   Zinin ijs  chocolade,PAS184     NR:24618852, 24.09.25/16:21      Eindhoven</t>
  </si>
  <si>
    <t>BEA, Apple Pay                   Zinin ijs  chocolade,PAS184     NR:50519977, 24.09.25/16:24      Eindhoven</t>
  </si>
  <si>
    <t>BEA, Apple Pay                   Zinin ijs  chocolade,PAS184     NR:24618852, 24.09.25/16:42      Eindhoven</t>
  </si>
  <si>
    <t>SEPA Incasso algemeen doorlopend Incassant: NL97ZZZ411263950000  Naam: VRIENDENLOTERIJ            Machtiging: 20000000000001026462024280519182                     Omschrijving: oktober 2025 31533-AA U steunt PSV                 IBAN: NL40ABNA0524040400        Kenmerk: 12431001322857</t>
  </si>
  <si>
    <t>SEPA Incasso algemeen doorlopend Incassant: NL94ZZZ242961680001  Naam: ENECO EMOBILITY            Machtiging: EeM-000030418       Omschrijving: /EINV/EM25-433371/ INV/INV000427384,15092025,R232868,Abonnementen Laadpassen                               /EINV/EM2IBAN: NL95ABNA0409617628</t>
  </si>
  <si>
    <t>SEPA Incasso algemeen doorlopend Incassant: NL67ZZZ271570000000  Naam: ANWB B.V.                  Machtiging: 312DDA18AC          Omschrijving: ARNL3364646217 Bet reft contributie/abonnementsgelden ANWB. Voor meer info kijk op  anwb.nl/factuur 7070250654      IBAN: NL73RABO0333003330</t>
  </si>
  <si>
    <t>SEPA Incasso algemeen doorlopend Incassant: NL07ZZZ565562680000  Naam: JUNIOR EINSTEIN BV         Machtiging: 1296450-18849       Omschrijving: JuniorEinstein.nl  +1 maand / 1 gebruiker(s): 30-08-2025 / 29-09-2025               IBAN: NL26INGB0007538295        Kenmerk: 9db3d</t>
  </si>
  <si>
    <t>SEPA Incasso algemeen doorlopend Incassant: NL08ZZZ502057730000  Naam: Luxplus.nl ApS via Mollie  Machtiging: MD71-7164-1984-8016 Omschrijving: Subscription 16806 133                             IBAN: NL50DEUT7022092456         Kenmerk: SD81-7528-8604-7525</t>
  </si>
  <si>
    <t>SEPA Incasso algemeen doorlopend Incassant: NL64ZZZ171589250000  Naam: SECURITAS DIRECT B.V.      Machtiging: 12621680            Omschrijving: 01.10.2025 - 31.10 .2025                           IBAN: NL71BNPA0227754484         Kenmerk: 0148451669</t>
  </si>
  <si>
    <t>SEPA iDEAL                       IBAN: NL04ADYB2017400157        BIC: ADYBNL2A                    Naam: Butlaroo Services B.V.    Omschrijving: RVM8F5NFKTP5DFG62K IDS 7180556031618153 Bagel and Juice - Strijp-S                  Kenmerk: 25-09-2025 09:11 7180556031618153</t>
  </si>
  <si>
    <t>BEA, Apple Pay                   B377_PetsPlace_Boerenb,PAS184   NR:07068339, 25.09.25/10:24      Helmond</t>
  </si>
  <si>
    <t>SEPA iDEAL                       IBAN: NL27INGB0000026500        BIC: INGBNL2A                    Naam: bol.com                   Omschrijving: P1594074261 705159 6316770148 bol.com A00094888X   Kenmerk: 25-09-2025 11:52 705159 6316770148</t>
  </si>
  <si>
    <t>BEA, Apple Pay                   Restaria d'n Belhamel,PAS184    NR:1G6XP4, 25.09.25/15:23        BAKEL</t>
  </si>
  <si>
    <t>BEA, Apple Pay                   Bakels Genot B.V.,PAS184        NR:16619750, 25.09.25/20:57      Bakel</t>
  </si>
  <si>
    <t>SEPA Incasso algemeen doorlopend Incassant: NL13ZZZ332005960000  Naam: INT CARD SERVICES          Machtiging: E084151850017001    Omschrijving: Incasso sep 2025 b etreffende uw creditcard ICS-klantnummer 84151850017             IBAN: NL23ABNA0818769483        Kenmerk: 05703CI001044772</t>
  </si>
  <si>
    <t>SEPA Incasso algemeen doorlopend Incassant: NL80ZZZ280818690000  Naam: TAF BV                     Machtiging: TAF0000003046119    Omschrijving: 133127124-Premie l evensverzekering-oktober 2025-  IBAN: NL13ABNA0581483413         Kenmerk: 1974-915890-0-1        Voor: IA ROLDAN LEON CJ</t>
  </si>
  <si>
    <t>BEA, Apple Pay                   CCV*VELO D ANVERS,PAS184        NR:CT462114, 26.09.25/09:17      EINDHOVEN</t>
  </si>
  <si>
    <t>BEA, Apple Pay                   Bagel  Juice Strijp-S,PAS184    NR:06439432, 26.09.25/13:34      Eindhoven</t>
  </si>
  <si>
    <t>BEA, Apple Pay                   Q Park Hooghuis,PAS184          NR:CT678454, 26.09.25/17:32      Eindhoven</t>
  </si>
  <si>
    <t>BEA, Apple Pay                   Bakels Genot B.V.,PAS193        NR:16619750, 26.09.25/21:41      Bakel</t>
  </si>
  <si>
    <t>BEA, Apple Pay                   Bakels Genot B.V.,PAS184        NR:16619744, 27.09.25/19:57      Bakel</t>
  </si>
  <si>
    <t>SEPA iDEAL                       IBAN: NL58CITI2032329913        BIC: CITINL2X                    Naam: RIVER ISLAND              Omschrijving: W8GC8RU 0220114225 790299 www.riverisland.com      Kenmerk: 28-09-2025 12:29 022011 4225790299</t>
  </si>
  <si>
    <t>BEA, Apple Pay                   IKEA Eindhoven,PAS184           NR:JV944C, 28.09.25/16:34        SON EN BREUGE</t>
  </si>
  <si>
    <t>BEA, Apple Pay                   IKEA Eindhoven,PAS184           NR:869PT9, 28.09.25/17:25        SON EN BREUGE</t>
  </si>
  <si>
    <t>SEPA Incasso algemeen doorlopend Incassant: NL62ZZZ411835980000  Naam: NAT POSTCODE LOTERIJ       Machtiging: 10000000000001026462024221018185                     Omschrijving: oktober 2025 5761JA010                             IBAN: NL57ABNA0505050501        Kenmerk: 12430902862808</t>
  </si>
  <si>
    <t>SEPA Incasso algemeen doorlopend Incassant: NL35ZZZ273653230000  Naam: BELASTINGDIENST            Machtiging: 8622208             Omschrijving: G-746-SN 27-08-202 5 t/m 26-09-2025 MEER INFO WWW.BELASTINGDIENST.NL                IBAN: NL86INGB0002445588        Kenmerk: IOAXX4a4cfe5c14fb4bca8c</t>
  </si>
  <si>
    <t>SEPA Incasso algemeen doorlopend Incassant: NL39KPN271247010001  Naam: KPN - Mobiel               Machtiging: M10014325376        Omschrijving: Factuur 12-09-2025 , klantnummer 20192744768, kpn.com/mobielefactuur.               IBAN: NL83INGB0000325513        Kenmerk: 000001350073947</t>
  </si>
  <si>
    <t>SEPA Incasso algemeen doorlopend Incassant: NL35ZZZ273653230000  Naam: BELASTINGDIENST            Machtiging: 8622208             Omschrijving: T-090-SK 29-08-202 5 t/m 28-09-2025 MEER INFO WWW.BELASTINGDIENST.NL                IBAN: NL86INGB0002445588        Kenmerk: IOAXX2dcc8e8ebdab4058b5</t>
  </si>
  <si>
    <t>SEPA Incasso algemeen doorlopend Incassant: NL51ZZZ301391030000  Naam: MERCEDES-BENZ INSURANCE SE RVICES NEDERLAND B.V.           Machtiging: 93420230823191233967 0005                            Omschrijving: Kenmerk: 4002.2740 .6531.0500 Omschrijving: 003755010 29-09-2025   1 MND 385636DB M</t>
  </si>
  <si>
    <t>SEPA Incasso algemeen doorlopend Incassant: NL18ZZZ410952220000  Naam: CZ groep Zorgverzekeraar   Machtiging: 476895707001001001  Omschrijving: kenmerk 8071909251 196198 Rel.nr. 476895707 Periode 01-10-2025/31-10-2025 CZ Zorgve rzekering -  -                  IBAN: NL85INGB0668339063</t>
  </si>
  <si>
    <t>BEA, Apple Pay                   ALDI ROE065 BAKEL,PAS184        NR:BS178732, 29.09.25/09:52      BAKEL</t>
  </si>
  <si>
    <t>BEA, Apple Pay                   OOST-WEST SUPERMARKT B,PAS184   NR:50275103, 29.09.25/15:51      EINDHOVEN</t>
  </si>
  <si>
    <t>BEA, Apple Pay                   Bakels Genot B.V.,PAS184        NR:16619757, 29.09.25/18:49      Bakel</t>
  </si>
  <si>
    <t>SEPA Incasso algemeen doorlopend Incassant: NL47ZZZ524034240000  Naam: NATIONALE-NED SCHADEVERZ M IJNV                            Machtiging: NNv59563             Omschrijving: Autoverzekering, Polisnr.: 2500041115, Periode: 27 -09-2025 - 26-10-2025           IBAN: NL24INGB0009472802</t>
  </si>
  <si>
    <t>SEPA iDEAL                       IBAN: NL51DEUT0265262461        BIC: DEUTNL2A                    Naam: Returnista International via Stichting Mollie Payments     Omschrijving: b3548948c1d26f1a7d7f7df03ebc68dd 8152135125874668  Steve Madden return via Returnista Returnista International</t>
  </si>
  <si>
    <t>SEPA iDEAL                       IBAN: NL04ADYB2017400157        BIC: ADYBNL2A                    Naam: Bijenkorf                 Omschrijving: WXJR52BW8HV9G3Z32K 5ZJ 7180376634695121 Ordernummer 48388437 deBijenkorf.nl         Kenmerk: 30-09-2025 08:27 7180376634695121</t>
  </si>
  <si>
    <t>SEPA iDEAL                       IBAN: NL82DEUT0265254337        BIC: DEUTNL2AXXX                 Naam: Riverty GmbH              Omschrijving: ab9dd20af8e949cea4 199f6278669629 8152855716605118 Riverty GmbH                     Kenmerk: 30-09-2025 12:14 8152855716605118</t>
  </si>
  <si>
    <t>BEA, Apple Pay                   LS Il primo ijscafe,PAS184      NR:43343704, 30.09.25/18:29      Helmond</t>
  </si>
  <si>
    <t>SEPA Incasso algemeen doorlopend Incassant: NL98ZZZ343342590000  Naam: ABN AMRO BANK NV           Machtiging: ST11107006486070001 Omschrijving: Termijnbetaling hy potheek PERIODE 09-2025         IBAN: NL33ABNA0432408118         Kenmerk: 000003180281938131NL0745</t>
  </si>
  <si>
    <t>SEPA Incasso algemeen doorlopend Incassant: NL75ZZZ170789750000  Naam: VCN Verzekeringen          Machtiging: 000010465631533     Omschrijving: KENMERK 566624 Pak ketpremie Hybride particulier Verzamelnr. 35309877 Vvd. 01-10-20 25 machtigingen                 IBAN: NL97INGB0671063480</t>
  </si>
  <si>
    <t>SEPA Incasso algemeen doorlopend Incassant: NL32ZZZ160050770000  Naam: Brabant Water N.V.         Machtiging: MID07528651.2       Omschrijving: Klant:607528651 VO ORSCHOT okt, BTW  -0,00 5761JA 7IBAN: NL60RABO0339601213         Kenmerk: INC039347417-5755007262</t>
  </si>
  <si>
    <t>SEPA Overboeking                 IBAN: NL16RABO0317347780        BIC: RABONL2U                    Naam: Sociale Verzekeringsbank  Omschrijving: KINDERBIJSLAG 3e k wart. 25 VZ65963910 WWW.SVB.NL Sociale Verzekeringsbank          Kenmerk: VZ6596391010022025092601</t>
  </si>
  <si>
    <t>BEA, Apple Pay                   ALDI ROE065 BAKEL,PAS184        NR:BS178733, 01.10.25/12:47      BAKEL</t>
  </si>
  <si>
    <t>BEA, Apple Pay                   Kruidvat 7257,PAS184            NR:3W2T4M, 01.10.25/16:23        BAKEL</t>
  </si>
  <si>
    <t>SEPA iDEAL                       IBAN: DE66202208000094949081    BIC: SXPYDEHH                    Naam: krijghonger via Stripe Technology Europe Ltd               Omschrijving: 74H03BF 7140774837872919 SP KRIJGHONGER krijghonge r                               Kenmerk: 01-10-2025 18:50 714077</t>
  </si>
  <si>
    <t>BEA, Apple Pay                   Kruidvat 7257,PAS193            NR:3W2T4M, 02.10.25/13:54        BAKEL</t>
  </si>
  <si>
    <t>BEA, Apple Pay                   Sang Lee Superstore,PAS184      NR:0D3J02, 02.10.25/15:03        EINDHOVEN</t>
  </si>
  <si>
    <t>BEA, Apple Pay                   CCV*Sang Lee Asian Foo,PAS184   NR:CT640433, 02.10.25/15:06      EINDHOVEN</t>
  </si>
  <si>
    <t>BEA, Apple Pay                   ALDI ROE065 BAKEL,PAS184        NR:BS178733, 02.10.25/16:57      BAKEL</t>
  </si>
  <si>
    <t>SEPA iDEAL                       IBAN: NL51DEUT0265262461        BIC: DEUTNL2A                    Naam: KLARNA BANK AB via Stichting Mollie Payments               Omschrijving: 3e6a9ab447b1c7f530e7eab0e5525228 8152364519536862  Klarna klarna.com KLARNA BANK ABKenmerk: 03-10-2025 15:53 815236</t>
  </si>
  <si>
    <t>SEPA iDEAL                       IBAN: NL51DEUT0265262461        BIC: DEUTNL2A                    Naam: KLARNA BANK AB via Stichting Mollie Payments               Omschrijving: 8f8dcf7a718b39fe354fb663edb39db3 8152366310415695  Klarna klarna.com KLARNA BANK ABKenmerk: 03-10-2025 15:54 815236</t>
  </si>
  <si>
    <t>BEA, Apple Pay                   ALDI ROE065 BAKEL,PAS184        NR:BS178732, 03.10.25/17:56      BAKEL</t>
  </si>
  <si>
    <t>BEA, Apple Pay                   WereldkeukenDeBraak,PAS184      NR:SYT372, 04.10.25/18:29        HELMOND</t>
  </si>
  <si>
    <t>BEA, Apple Pay                   Q PARK HEUVEL,PAS184            NR:CT698647, 05.10.25/10:27      EINDHOVEN</t>
  </si>
  <si>
    <t>SEPA Incasso algemeen doorlopend Incassant: NL39KPN271247010001  Naam: KPN - Mobiel               Machtiging: M10014325376        Omschrijving: Factuur 20-09-2025 , klantnummer 20192744768, kpn.com/mobielefactuur.               IBAN: NL83INGB0000325513        Kenmerk: 000001351087773</t>
  </si>
  <si>
    <t>BEA, Apple Pay                   ALBERT HEIJN 1876,PAS184        NR:85CY4N, 06.10.25/08:16        EINDHOVEN</t>
  </si>
  <si>
    <t>SEPA Incasso algemeen doorlopend Incassant: DE23ZZZ00001986600   Naam: STPARKEERGELDEN VIA RIVERT Y                               Machtiging: EC00416190003228740  Omschrijving: Id 2900140546150003, EasyPark B.V., Re Nr. 4161938 325058, Ku Nr. 45099962         IBAN: NL96DEUT0265287162</t>
  </si>
  <si>
    <t>SEPA iDEAL                       IBAN: NL04ADYB2017400157        BIC: ADYBNL2A                    Naam: Douglas                   Omschrijving: CWPT467XX5KHFJP934 NVV 7180404237552318 DGLNL0024079910                             Kenmerk: 07-10-2025 14:27 7180404237552318</t>
  </si>
  <si>
    <t>SEPA iDEAL                       IBAN: NL51DEUT0265262461        BIC: DEUTNL2A                    Naam: KLARNA BANK AB via Stichting Mollie Payments               Omschrijving: ac78b65543705d3c8a5d360e4fbaf51b 8152736010372600  Klarna klarna.com KLARNA BANK ABKenmerk: 07-10-2025 15:17 815273</t>
  </si>
  <si>
    <t>BEA, Apple Pay                   TEDS EINDHOVEN STRIJP-,PAS184   NR:51496761, 08.10.25/10:16      EINDHOVEN</t>
  </si>
  <si>
    <t>BEA, Apple Pay                   Kruidvat 7257,PAS184            NR:3W2T4M, 08.10.25/10:51        BAKEL</t>
  </si>
  <si>
    <t>BEA, Apple Pay                   VELOSOOF B.V.,PAS184            NR:30015329, 08.10.25/15:13      Eindhoven</t>
  </si>
  <si>
    <t>BEA, Apple Pay                   Slagerij G Welten,PAS184        NR:4N9KY3, 09.10.25/13:46        LIESSEL</t>
  </si>
  <si>
    <t>BEA, Apple Pay                   ValinsoPay NL,PAS184            NR:39762149, 09.10.25/15:01      WIJK EN AALBU</t>
  </si>
  <si>
    <t>SEPA Incasso algemeen doorlopend Incassant: NL79ZZZ050253590000  Naam: Tinka B.V.                 Machtiging: 1280166993-0        Omschrijving: Betaling vervaldag  02/10/2025 1280166993          IBAN: NL67INGB0002243200         Kenmerk: 1280166993.20251001194405.013</t>
  </si>
  <si>
    <t>SEPA Incasso algemeen doorlopend Incassant: NL39KPN271247010001  Naam: KPN - Mobiel               Machtiging: M10026094772        Omschrijving: Factuur 03-10-2025 , klantnummer 40109950659, kpn.com/mobielefactuur.               IBAN: NL83INGB0000325513        Kenmerk: 000001352124724</t>
  </si>
  <si>
    <t>BEA, Apple Pay                   Lidl 181 Deurne,PAS193          NR:87105928, 12.10.25/17:05      DEURNE</t>
  </si>
  <si>
    <t>BEA, Apple Pay                   Action 1086,PAS184              NR:06428156, 12.10.25/17:49      Deurne</t>
  </si>
  <si>
    <t>BEA, Apple Pay                   Intertoys,PAS184                NR:TM1305, 14.10.25/12:17        EINDHOVEN</t>
  </si>
  <si>
    <t>BEA, Apple Pay                   TK Maxx,PAS193                  NR:06461536, 14.10.25/12:20      Eindhoven Heu</t>
  </si>
  <si>
    <t>BEA, Apple Pay                   BCK*MINISO - EINDHOVEN,PAS184   NR:CT625501, 14.10.25/12:34      EINDHOVEN</t>
  </si>
  <si>
    <t>BEA, Apple Pay                   Zara Rechtestraat,PAS193        NR:1H2PQ7, 14.10.25/12:38        EINDHOVEN</t>
  </si>
  <si>
    <t>BEA, Apple Pay                   CCV*KFC Eindhoven,PAS184        NR:BS133577, 14.10.25/12:51      EINDHOVEN</t>
  </si>
  <si>
    <t>BEA, Apple Pay                   Bijenkorf,PAS193                NR:03675731, 14.10.25/14:07      Eindhoven</t>
  </si>
  <si>
    <t>BEA, Apple Pay                   Bijenkorf,PAS184                NR:03570609, 14.10.25/14:10      Eindhoven</t>
  </si>
  <si>
    <t>BEA, Apple Pay                   CCV*DEN OUDEN V.O.F.,PAS184     NR:CT692982, 14.10.25/14:20      SCHYNDEL</t>
  </si>
  <si>
    <t>BEA, Apple Pay                   H. VAN HOUT,PAS184              NR:90062049, 14.10.25/14:28      EINDHOVEN</t>
  </si>
  <si>
    <t>BEA, Apple Pay                   Q PARK HEUVEL,PAS184            NR:CT698647, 14.10.25/14:39      EINDHOVEN</t>
  </si>
  <si>
    <t>/TRTP/SEPA Incasso algemeen doorlopend/CSID/NL39KPN271247010001/NAME/KPN - Mobiel/MARF/M10019074063/REMI/Factuur 08-10-2025, klantnummer 40102619132, kpn.com/mobielefactuur./IBAN/NL83INGB0000325513/BIC/INGBNL2A/EREF/000001352841499</t>
  </si>
  <si>
    <t>/TRTP/SEPA OVERBOEKING/IBAN/NL36INGB0003445588/BIC/INGBNL2A/NAME/BELASTINGDIENST/REMI/MAAND OKT. NR. 547423032H5001 IB/PVV 2025 (ROLDAN LEON )/EREF/COAXX146334593202510101831176823974</t>
  </si>
  <si>
    <t>/TRTP/SEPA Incasso algemeen doorlopend/CSID/NL62ZZZ300756476075/NAME/AEGON LEVENSVERZEKERING/MARF/040000061879/REMI/L61587671 Premie per 17-10-2025 Overlijdensrisicoverzekering/IBAN/NL48ABNA0132698897/BIC/ABNANL2A/EREF/IKEN408001893476</t>
  </si>
  <si>
    <t>BEA, Apple Pay                   Toverland BV,PAS184             NR:TCC701, 17.10.25/15:58        SEVENUM</t>
  </si>
  <si>
    <t>BEA, Apple Pay                   Toverland B.V.,PAS184           NR:5RSM53, 17.10.25/17:48        SEVENUM</t>
  </si>
  <si>
    <t>BEA, Apple Pay                   Toverland BV,PAS184             NR:2TT44C, 17.10.25/18:45        SEVENUM</t>
  </si>
  <si>
    <t>BEA, Apple Pay                   Toverland BV,PAS184             NR:XH353S, 17.10.25/19:19        SEVENUM</t>
  </si>
  <si>
    <t>BEA, Apple Pay                   CCV*Jolie Spellen B.V.,PAS184   NR:CT846579, 18.10.25/15:17      EINDHOVEN</t>
  </si>
  <si>
    <t>BEA, Apple Pay                   HEMA EV0009 Eindhoven,PAS184    NR:CT946186, 18.10.25/15:43      Eindhoven</t>
  </si>
  <si>
    <t>BEA, Apple Pay                   Bijenkorf,PAS184                NR:03853073, 18.10.25/16:01      Eindhoven</t>
  </si>
  <si>
    <t>BEA, Apple Pay                   TK Maxx,PAS193                  NR:05931628, 18.10.25/17:36      Eindhoven Heu</t>
  </si>
  <si>
    <t>BEA, Apple Pay                   CCV*VALENTINO,PAS184            NR:AL022927, 18.10.25/17:50      EINDHOVEN</t>
  </si>
  <si>
    <t>BEA, Apple Pay                   Q-Park De Bijenkorf Ei,PAS184   NR:CT398010, 18.10.25/18:19      EINDHOVEN</t>
  </si>
  <si>
    <t>BEA, Apple Pay                   Intertoys,PAS184                NR:754H3K, 19.10.25/16:10        EINDHOVEN</t>
  </si>
  <si>
    <t>BEA, Apple Pay                   TK Maxx,PAS184                  NR:06461536, 19.10.25/16:25      Eindhoven Heu</t>
  </si>
  <si>
    <t>BEA, Apple Pay                   Holland &amp; Barrett,PAS184        NR:16HQ02, 19.10.25/16:34        EINDHOVEN</t>
  </si>
  <si>
    <t>BEA, Apple Pay                   Saver Food B.V. EINDHO,PAS184   NR:181PK5, 19.10.25/16:44        EINDHOVEN</t>
  </si>
  <si>
    <t>BEA, Apple Pay                   PAY.nl*JUNE TEA B.V.,PAS184     NR:FQ59F9, 19.10.25/17:26        EINDHOVEN</t>
  </si>
  <si>
    <t>BEA, Apple Pay                   Q PARK HEUVEL,PAS184            NR:CT698647, 19.10.25/17:53      EINDHOVEN</t>
  </si>
  <si>
    <t>BEA, Apple Pay                   Kruidvat 7257,PAS193            NR:3W2T4M, 20.10.25/15:03        BAKEL</t>
  </si>
  <si>
    <t>BEA, Apple Pay                   Jumbo Bakel Auersch,PAS184      NR:GR0404, 20.10.25/16:58        BAKEL</t>
  </si>
  <si>
    <t>/TRTP/SEPA Incasso algemeen doorlopend/CSID/NL39KPN271247010001/NAME/KPN B.V./MARF/M10016882311/REMI/Factuur 16-10-2025, klantnummer 9068692552, kpn.com/thuisfactuur./IBAN/NL41INGB0000467598 /BIC/INGBNL2A/EREF/000011368796913</t>
  </si>
  <si>
    <t>/TRTP/SEPA Incasso algemeen doorlopend/CSID/NL39KPN271247010001/NAME/KPN - Mobiel/MARF/M10022147968/REMI/Factuur 14-10-2025, klantnummer 40105267125, kpn.com/mobielefactuur./IBAN/NL83INGB0000325513/BIC/INGBNL2A/EREF/000001353640646</t>
  </si>
  <si>
    <t>BEA, Apple Pay                   Jumbo Bakel Auersch,PAS184      NR:GR0401, 21.10.25/08:21        BAKEL</t>
  </si>
  <si>
    <t>BEA, Apple Pay                   Bakels Genot B.V.,PAS184        NR:16619749, 21.10.25/20:59      Bakel</t>
  </si>
  <si>
    <t>BEA, Apple Pay                   Q Park Hooghuis,PAS184          NR:CT678454, 22.10.25/15:02      Eindhoven</t>
  </si>
  <si>
    <t>BEA, Apple Pay                   ALBERT HEIJN 1876,PAS184        NR:85CY4N, 22.10.25/15:27        EINDHOVEN</t>
  </si>
  <si>
    <t>BEA, Apple Pay                   Parkeergarage Veem,PAS184       NR:ZW9ZR2, 22.10.25/15:29        EINDHOVEN</t>
  </si>
  <si>
    <t>BEA, Apple Pay                   ALDI ROE065 BAKEL,PAS184        NR:BS178732, 22.10.25/19:18      BAKEL</t>
  </si>
  <si>
    <t>BEA, Apple Pay                   Q PARK HEUVEL,PAS193            NR:CT698648, 22.10.25/21:36      EINDHOVEN</t>
  </si>
  <si>
    <t>BEA, Apple Pay                   Action 1086,PAS184              NR:06428156, 23.10.25/12:39      Deurne</t>
  </si>
  <si>
    <t>/TRTP/iDEAL/IBAN/NL58CITI2032329913/BIC/CITINL2X/NAME/Mexgrocer Europe B.V./REMI/JX4AFTI 0220544506755389 Mexgrocer Europe/EREF/23-10-2025 13:33 0220544506755389</t>
  </si>
  <si>
    <t>/TRTP/iDEAL/IBAN/NL51DEUT0265262461/BIC/DEUTNL2A/NAME/KLARNA BANK AB via Stichting Mollie Payments/REMI/78ce5a310a98fd9b865e242955c12ee9 8152924482785338 Klarna klarna.com KLARNA BANK AB/EREF/23-10-2025 15:16 8152924482785338</t>
  </si>
  <si>
    <t>/TRTP/iDEAL/IBAN/NL51DEUT0265262461/BIC/DEUTNL2A/NAME/KLARNA BANK AB via Stichting Mollie Payments/REMI/a64a7f27ff367affb122e4df1368aa25 8152275991936997 Klarna klarna.com KLARNA BANK AB/EREF/23-10-2025 15:16 8152275991936997</t>
  </si>
  <si>
    <t>/TRTP/iDEAL/IBAN/NL51DEUT0265262461/BIC/DEUTNL2A/NAME/KLARNA BANK AB via Stichting Mollie Payments/REMI/b8bc7933cb36c9bb682d7ee11fd8634a 8152086903996727 Klarna klarna.com KLARNA BANK AB/EREF/23-10-2025 15:17 8152086903996727</t>
  </si>
  <si>
    <t>BEA, Apple Pay                   ALDI ROE065 BAKEL,PAS184        NR:BS178733, 23.10.25/16:10      BAKEL</t>
  </si>
  <si>
    <t>/TRTP/SEPA Overboeking/IBAN/NL68ABNA0814325297/BIC/ABNANL2A/NAME/GOODHABITZ BV/REMI/SALARISBETALING PERIODE 10/EREF/5-3384691-01-77</t>
  </si>
  <si>
    <t>/TRTP/SEPA Incasso algemeen doorlopend/CSID/NL97ZZZ411263950000/NAME/VRIENDENLOTERIJ/MARF/20000000000001026462024280519182/REMI/november 2025 31533-AA U steunt PSV/IBAN/NL40ABNA0524040400/BIC/ABNANL2A/EREF/12442601316891</t>
  </si>
  <si>
    <t>/TRTP/SEPA Incasso algemeen doorlopend/CSID/NL80ZZZ280818690000/NAME/TAF BV/MARF/TAF0000003046119/REMI/134218813-Premie levensverzekering-november 2025-/IBAN/NL13ABNA0581483413/BIC/ABNANL2A  /EREF/1990-915890-0-1</t>
  </si>
  <si>
    <t>BEA, Apple Pay                   BCK*Yemeni Mandi Resta,PAS193   NR:CT876702, 24.10.25/14:02      EINDHOVEN</t>
  </si>
  <si>
    <t>BEA, Apple Pay                   CCV*CARPRO HELMOND BV,PAS193    NR:CT457821, 24.10.25/14:43      HELMOND</t>
  </si>
  <si>
    <t>BEA, Apple Pay                   B377_PetsPlace_Boerenb,PAS193   NR:07068339, 24.10.25/15:10      Helmond</t>
  </si>
  <si>
    <t>BEA, Apple Pay                   ALDI ROE065 BAKEL,PAS193        NR:BS178732, 24.10.25/15:34      BAKEL</t>
  </si>
  <si>
    <t>BEA, Apple Pay                   Douglas054Helmond,PAS184        NR:07107545, 25.10.25/16:00      Helmond</t>
  </si>
  <si>
    <t>BEA, Apple Pay                   BCK*Xenos Helmond 0214,PAS184   NR:CT697263, 25.10.25/16:17      HELMOND</t>
  </si>
  <si>
    <t>BEA, Apple Pay                   parkeergarages elzas,PAS184     NR:NK6XH3, 25.10.25/16:22        HELMOND</t>
  </si>
  <si>
    <t>BEA, Apple Pay                   ALDI ROE065 BAKEL,PAS184        NR:BS178733, 25.10.25/16:52      BAKEL</t>
  </si>
  <si>
    <t>BEA, Apple Pay                   Jumbo Bakel Auersch,PAS184      NR:GR0401, 26.10.25/16:37        BAKEL</t>
  </si>
  <si>
    <t>BEA, Apple Pay                   Jumbo Bakel Auersch,PAS184      NR:GR0401, 26.10.25/18:44        BAKEL</t>
  </si>
  <si>
    <t>/TRTP/SEPA Incasso algemeen doorlopend/CSID/NL62ZZZ411835980000/NAME/NAT POSTCODE LOTERIJ/MARF/10000000000001026462024221018185/REMI/november 2025 5761JA010/IBAN/NL57ABNA0505050501/BIC/ABNANL2A/EREF/12442502865816</t>
  </si>
  <si>
    <t>/TRTP/SEPA Incasso algemeen doorlopend/CSID/NL94ZZZ242961680001/NAME/ENECO EMOBILITY/MARF/EeM-000030418/REMI//EINV/EM25-456242/INV/INV000439245,15102025,R232868,Transacties Laadpas NL-ENE-C00611466-9               /EINV/EM25-456242/INV/INV000439245,/IBAN/NL95ABNA0409617628/BIC/ABNANL2A/EREF/NL014191288TH</t>
  </si>
  <si>
    <t>/TRTP/SEPA Incasso algemeen doorlopend/CSID/NL13ZZZ332005960000/NAME/INT CARD SERVICES/MARF/E084151850017001/REMI/Incasso okt 2025 betreffende uw creditcard ICS-klantnummer 84151850017/IBAN/NL23ABNA0818769483/BIC/ABNANL2A/EREF/05733CI001044302</t>
  </si>
  <si>
    <t>/TRTP/SEPA Incasso algemeen doorlopend/CSID/NL35ZZZ273653230000/NAME/BELASTINGDIENST/MARF/8622208/REMI/G-746-SN 27-09-2025 t/m 26-10-2025 MEER INFO WWW.BELASTINGDIENST.NL/IBAN/NL86INGB0002445588/BIC/INGBNL2A/EREF/IOAXXe79ae4277261461ea7b9cac07493ab</t>
  </si>
  <si>
    <t>/TRTP/SEPA Incasso algemeen doorlopend/CSID/NL08ZZZ502057730000/NAME/Luxplus.nl ApS via Mollie/MARF/MD71-7164-1984-8016/REMI/Subscription 17000820/IBAN/NL50DEUT7022092456/BIC/DEUTNL2AXXX/EREF/SD46-3545-4484-1392</t>
  </si>
  <si>
    <t>/TRTP/SEPA Incasso algemeen doorlopend/CSID/NL07ZZZ565562680000/NAME/JUNIOR EINSTEIN BV/MARF/1296450-18849/REMI/JuniorEinstein.nl +1 maand / 1 gebruiker(s): 30-09-2025 / 30-10-2025/IBAN/NL26INGB0007538295/BIC/INGBNL2A/EREF/9f93d</t>
  </si>
  <si>
    <t>/TRTP/SEPA Incasso algemeen doorlopend/CSID/NL15ZZZ243026850000/NAME/GREENCHOICE/MARF/4213775/REMI/Recollection for Roldan Leon,5761JA 7 , Klantnummer 1124330, Notanummer GC0113689514 van 01 oktober 2025/IBAN/NL18INGB0005309282/BIC/INGBNL2A/EREF/GC0113689514-20251023110616</t>
  </si>
  <si>
    <t>/TRTP/SEPA Incasso algemeen doorlopend/CSID/NL35ZZZ273653230000/NAME/BELASTINGDIENST/MARF/8622208/REMI/T-090-SK 29-09-2025 t/m 28-10-2025 MEER INFO WWW.BELASTINGDIENST.NL/IBAN/NL86INGB0002445588/BIC/INGBNL2A/EREF/IOAXX81390d2bd75443d08b5c885f4264cf</t>
  </si>
  <si>
    <t>/TRTP/SEPA Incasso algemeen doorlopend/CSID/NL18ZZZ410952220000/NAME/CZ groep Zorgverzekeraar/MARF/476895707001001001/REMI/kenmerk 3071710253943424 Rel.nr. 476895707 Periode 01-11-2025/30-11-2025 CZ Zorgverzekering -  -/IBAN/NL85INGB0668339063/BIC/INGBNL2A/EREF/SDD0315717312</t>
  </si>
  <si>
    <t>/TRTP/SEPA Incasso algemeen doorlopend/CSID/NL47ZZZ524034240000/NAME/NATIONALE-NED SCHADEVERZ MIJNV/MARF/NNv59563/REMI/Autoverzekering, Polisnr.: 2500041115, Periode: 27-10-2025 - 26-11-2025 /IBAN/NL24INGB0009472802/BIC/INGBNL2A/EREF/18732024</t>
  </si>
  <si>
    <t>BEA, Apple Pay                   Kruidvat 7257,PAS193            NR:3W2T4M, 27.10.25/14:57        BAKEL</t>
  </si>
  <si>
    <t>BEA, Apple Pay                   Q-Park Centrum Admiran,PAS184   NR:CT398003, 27.10.25/15:44      EINDHOVEN</t>
  </si>
  <si>
    <t>BEA, Apple Pay                   ALDI ROE065 BAKEL,PAS193        NR:BS178734, 27.10.25/17:12      BAKEL</t>
  </si>
  <si>
    <t>/TRTP/iDEAL/IBAN/NL04ADYB2017400157/BIC/ADYBNL2A/NAME/Coolblue /REMI/VSDZKB4VCQGWZ3H32GKII 7180596585773548 trnsnr.781656516  /EREF/27-10-2025 19:36 7180596585773548</t>
  </si>
  <si>
    <t>/TRTP/SEPA Incasso algemeen doorlopend/CSID/NL64ZZZ171589250000/NAME/SECURITAS DIRECT B.V./MARF/12621680/REMI/01.11.2025 - 30.11.2025/IBAN/NL71BNPA0227754484/BIC/BNPANL2AXXX/EREF/0148588241</t>
  </si>
  <si>
    <t>BEA, Apple Pay                   Lidl 581 Eindhoven,PAS184       NR:87107786, 28.10.25/13:55      EINDHOVEN</t>
  </si>
  <si>
    <t>/TRTP/SEPA Incasso algemeen doorlopend/CSID/NL51ZZZ301391030000/NAME/MERCEDES-BENZ INSURANCE SERVICES NEDERLAND B.V./MARF/934202308231912339670005/REMI/Kenmerk: 9002.2901.4931.0500 Omschrijving: 003773706 29-10-2025   1 MND 385636DB Mercedes-Benz autoverzekering WA/C Bovemij/IBAN/NL17BNPA0227677080/BIC/BNPANL2AXXX/EREF/9002290149310500</t>
  </si>
  <si>
    <t>/TRTP/iDEAL/IBAN/NL51DEUT0265262461/BIC/DEUTNL2A/NAME/KLARNA BANK AB via Stichting Mollie Payments/REMI/dc147d0d4b0bed7dd9dc0abfb6eb570e 8152205397826999 Klarna klarna.com KLARNA BANK AB/EREF/29-10-2025 09:25 8152205397826999</t>
  </si>
  <si>
    <t>/TRTP/iDEAL/IBAN/NL51DEUT0265262461/BIC/DEUTNL2A/NAME/KLARNA BANK AB via Stichting Mollie Payments/REMI/48e8b03f500273b8e5e966035d99186d 8152544197766204 Klarna klarna.com KLARNA BANK AB/EREF/29-10-2025 09:26 8152544197766204</t>
  </si>
  <si>
    <t>/TRTP/iDEAL/IBAN/NL51DEUT0265262461/BIC/DEUTNL2A/NAME/KLARNA BANK AB via Stichting Mollie Payments/REMI/708233bb89d51903494e331fc89e637d 8152855703917455 Klarna klarna.com KLARNA BANK AB/EREF/29-10-2025 09:27 8152855703917455</t>
  </si>
  <si>
    <t>BEA, Apple Pay                   Takumi Ramen Eindhoven,PAS184   NR:088929EQ, 29.10.25/17:50      EINDHOVEN</t>
  </si>
  <si>
    <t>BEA, Apple Pay                   PAY.nl*JUNE TEA B.V.,PAS184     NR:FK7VMK, 29.10.25/17:55        EINDHOVEN</t>
  </si>
  <si>
    <t>BEA, Apple Pay                   Q PARK HEUVEL,PAS184            NR:CT698647, 29.10.25/18:33      EINDHOVEN</t>
  </si>
  <si>
    <t>eCom, Apple Pay                  Thuisbezorgd.nl Q9RY9Y          29.10.25/22:17                   Utrecht</t>
  </si>
  <si>
    <t>/TRTP/SEPA Incasso algemeen doorlopend/CSID/NL39KPN271247010001/NAME/KPN - Mobiel/MARF/M10014325376/REMI/Factuur 14-10-2025, klantnummer 20192744768, kpn.com/mobielefactuur./IBAN/NL83INGB0000325513/BIC/INGBNL2A/EREF/000001353714015</t>
  </si>
  <si>
    <t>BEA, Apple Pay                   Q-Park Centrum Admiran,PAS184   NR:CT398003, 30.10.25/14:31      EINDHOVEN</t>
  </si>
  <si>
    <t>BEA, Apple Pay                   ALDI ROE065 BAKEL,PAS184        NR:BS178733, 30.10.25/15:30      BAKEL</t>
  </si>
  <si>
    <t>BEA, Apple Pay                   Jumbo Bakel Auersch,PAS184      NR:GR0401, 30.10.25/18:37        BAKEL</t>
  </si>
  <si>
    <t>BEA, Apple Pay                   NETTORAMA 19,PAS184             NR:47N2JJ, 30.10.25/19:18        GEMERT</t>
  </si>
  <si>
    <t>BEA, Apple Pay                   NETTORAMA 19,PAS184             NR:47N2JJ, 30.10.25/19:32        GEMERT</t>
  </si>
  <si>
    <t>BEA, Apple Pay                   BCK*Gem. s-Hertogenbos,PAS184   NR:CT897443, 31.10.25/11:49      S-HERTOGENBOS</t>
  </si>
  <si>
    <t>BEA, Apple Pay                   Lidl 581 Eindhoven,PAS184       NR:87107785, 31.10.25/12:47      EINDHOVEN</t>
  </si>
  <si>
    <t>BEA, Apple Pay                   BCK*Polski Smak Bakel,PAS184    NR:CT926072, 31.10.25/19:50      BAKEL</t>
  </si>
  <si>
    <t>BEA, Apple Pay                   Bakels Genot B.V.,PAS184        NR:16619750, 31.10.25/21:39      Bakel</t>
  </si>
  <si>
    <t>SEPA Overboeking                 IBAN: NL31INGB0705005356        BIC: INGBNL2A                    Naam: Min. v Justitie en Veiligheid 601/IND LEGES MVV DIP        Omschrijving: Zaaknummer Z1-193691725326, Vorderingsnummer 60126 67246                           Kenmerk: NOTPROVIDED</t>
  </si>
  <si>
    <t>SEPA Overboeking                 IBAN: NL31INGB0705005356        BIC: INGBNL2A                    Naam: Min. v Justitie en Veiligheid 601/IND LEGES MVV DIP        Omschrijving: Zaaknummer Z1-193745079055, Vorderingsnunmer 60126 68902                           Kenmerk: NOTPROVIDED</t>
  </si>
  <si>
    <t>BEA, Apple Pay                   Bakels Genot B.V.,PAS184        NR:16619750, 01.11.25/22:55      Bakel</t>
  </si>
  <si>
    <t>BEA, Apple Pay                   Bakels Genot B.V.,PAS184        NR:16619750, 02.11.25/19:27      Bakel</t>
  </si>
  <si>
    <t>/TRTP/SEPA Incasso algemeen doorlopend/CSID/NL98ZZZ343342590000/NAME/ABN AMRO BANK NV/MARF/ST11107006486070001/REMI/Termijnbetaling hypotheek PERIODE 10-2025/IBAN/NL33ABNA0432408118/BIC/ABNANL2A/EREF/000003190110218131NL0750</t>
  </si>
  <si>
    <t>/TRTP/SEPA Incasso algemeen doorlopend/CSID/NL97ZZZ411263950000/NAME/VRIENDENLOTERIJ/MARF/20000000000001026462024280519182/REMI/Kersttrekking 31533-AA/IBAN/NL40ABNA0524040400/BIC/ABNANL2A/EREF/12442700910550</t>
  </si>
  <si>
    <t>/TRTP/SEPA Incasso algemeen doorlopend/CSID/NL32ZZZ160050770000/NAME/Brabant Water N.V./MARF/MID07528651.2/REMI/Klant:607528651 VOORSCHOT nov, BTW  -0,00 5761JA 7/IBAN/NL60RABO0339601213/BIC/RABONL2U/EREF/INC039714385-5756530485</t>
  </si>
  <si>
    <t>/TRTP/iDEAL/IBAN/NL04ADYB2017400157/BIC/ADYBNL2A/NAME/Butlaroo Services B.V./REMI/QVD7DKPVSHRL9KP92KIDS 7180194500453892 Bagel and Juice - Strijp-S/EREF/03-11-2025 09:12 7180194500453892</t>
  </si>
  <si>
    <t>/TRTP/iDEAL/IBAN/NL56INGB0705005100/BIC/INGBNL2A/NAME/CJIB Verkeersboetes/REMI/6062542277222207MTCH000005022567 8153346885512284 6062 5422 7722 2207/EREF/03-11-2025 13:20 8153346885512284</t>
  </si>
  <si>
    <t>SEPA Overboeking                 IBAN: NL56INGB0705005100        BIC: INGBNL2A                    Naam: CJIB Leeuwarden           Betalingskenm.: 6062542272342488 Kenmerk: NOTPROVIDED</t>
  </si>
  <si>
    <t>eCom, Apple Pay                  Coolblue                        03.11.25/22:41                   Rotterdam</t>
  </si>
  <si>
    <t>BEA, Apple Pay                   Amazing Oriental Eindh,PAS184   NR:XG3LKS, 04.11.25/14:29        EINDHOVEN</t>
  </si>
  <si>
    <t>/TRTP/iDEAL/IBAN/NL27INGB0000026500/BIC/INGBNL2A/NAME/bol.com  /REMI/P1608374473 7051566303450394 bol.com BUN1801295038963/EREF/04-11-2025 17:48 7051566303450394</t>
  </si>
  <si>
    <t>BEA, Apple Pay                   Albert Heijn 1615,PAS184        NR:H0J5VL, 04.11.25/19:19        HELMOND</t>
  </si>
  <si>
    <t>SEPA Overboeking                 IBAN: NL98RABO0199653682        BIC: RABONL2U                    Naam: Kerstens Hoveniersbedrijf Omschrijving: Factuurnunmer 2505 0                               Kenmerk: NOTPROVIDED</t>
  </si>
  <si>
    <t>BEA, Apple Pay                   ALDI ROE065 BAKEL,PAS184        NR:BS178732, 05.11.25/08:30      BAKEL</t>
  </si>
  <si>
    <t>BEA, Apple Pay                   Enversed Entertainment,PAS184   NR:FW24PG, 05.11.25/16:38        EINDHOVEN</t>
  </si>
  <si>
    <t>BEA, Apple Pay                   CCV*WYNWOOD BV,PAS184           NR:CT439589, 05.11.25/18:29      EINDHOVEN</t>
  </si>
  <si>
    <t>BEA, Apple Pay                   Parkeergarage Veem,PAS184       NR:ZW9ZR2, 05.11.25/18:35        EINDHOVEN</t>
  </si>
  <si>
    <t>BEA, Apple Pay                   Kruidvat 7257,PAS193            NR:3W2T4M, 06.11.25/15:42        BAKEL</t>
  </si>
  <si>
    <t>BEA, Apple Pay                   SumUp  *Le_ loempia_s,PAS184    NR:MCGGSXAK, 07.11.25/15:02      Helmond</t>
  </si>
  <si>
    <t>SEPA Overboeking                 IBAN: NL04ABNA0121377849        BIC: ABNANL2A                    Naam: IA ROLDAN LEON            Kenmerk: NOTPROVIDED</t>
  </si>
  <si>
    <t>/TRTP/SEPA Incasso algemeen doorlopend/CSID/NL75ZZZ170789750000/NAME/VCN Verzekeringen/MARF/000010465631533/REMI/KENMERK 566624 Pakketpremie Hybride particulier Verzamelnr. 35532003 Vvd. 01-11-2025 incasso/IBAN/NL97INGB0671063480/BIC/INGBNL2A/EREF/35532003</t>
  </si>
  <si>
    <t>BEA, Apple Pay                   Bakels Genot B.V.,PAS184        NR:16619750, 07.11.25/21:22      Bakel</t>
  </si>
  <si>
    <t>BEA, Apple Pay                   BCK*Polski Smak Bakel,PAS184    NR:CT926072, 07.11.25/20:37      BAKEL</t>
  </si>
  <si>
    <t>/TRTP/iDEAL/IBAN/NL04ADYB2017400157/BIC/ADYBNL2A/NAME/Butlaroo Services B.V./REMI/BV87567Z248P8GR92KIDS 7180095094557407 Bagel and Juice - Strijp-S/EREF/08-11-2025 14:22 7180095094557407</t>
  </si>
  <si>
    <t>/TRTP/iDEAL/IBAN/NL04ADYB2017400157/BIC/ADYBNL2A/NAME/Butlaroo Services B.V./REMI/WSHB42QC4BJKKTD32KIDS 7180984200647404 Bagel and Juice - Strijp-S/EREF/08-11-2025 15:16 7180984200647404</t>
  </si>
  <si>
    <t>/TRTP/iDEAL/IBAN/NL04ADYB2017400157/BIC/ADYBNL2A/NAME/Butlaroo Services B.V./REMI/QRT4MLQT94J7LBR92KIDS 7180154509616441 Bagel and Juice - Strijp-S/EREF/08-11-2025 15:30 7180154509616441</t>
  </si>
  <si>
    <t>BEA, Apple Pay                   Kruidvat 7186,PAS184            NR:9K769B, 09.11.25/13:56        HELMOND</t>
  </si>
  <si>
    <t>/TRTP/SEPA Incasso algemeen doorlopend/CSID/NL39KPN271247010001/NAME/KPN - Mobiel/MARF/M10026094772/REMI/Factuur 04-11-2025, klantnummer 40109950659, kpn.com/mobielefactuur./IBAN/NL83INGB0000325513/BIC/INGBNL2A/EREF/000001355678496</t>
  </si>
  <si>
    <t>/TRTP/SEPA Incasso algemeen doorlopend/CSID/NL39KPN271247010001/NAME/KPN - Mobiel/MARF/M10019074063/REMI/Factuur 07-11-2025, klantnummer 40102619132, kpn.com/mobielefactuur./IBAN/NL83INGB0000325513/BIC/INGBNL2A/EREF/000001356360896</t>
  </si>
  <si>
    <t>BEA, Apple Pay                   Cafe LouLou,PAS184              NR:871T12, 15.11.25/19:48        EINDHOVEN</t>
  </si>
  <si>
    <t>BEA, Apple Pay                   Jumbo Bakel Auersch,PAS184      NR:GR0405, 16.11.25/11:40        BAKEL</t>
  </si>
  <si>
    <t>BEA, Apple Pay                   Jumbo Bakel Auersch,PAS184      NR:GR0401, 16.11.25/18:12        BAKEL</t>
  </si>
  <si>
    <t>/TRTP/SEPA Incasso algemeen doorlopend/CSID/NL62ZZZ300756476075/NAME/AEGON LEVENSVERZEKERING/MARF/040000061879/REMI/L61587671 Premie per 17-11-2025 Overlijdensrisicoverzekering/IBAN/NL48ABNA0132698897/BIC/ABNANL2A/EREF/IKEN496001823613</t>
  </si>
  <si>
    <t>/TRTP/SEPA OVERBOEKING/IBAN/NL36INGB0003445588/BIC/INGBNL2A/NAME/BELASTINGDIENST/REMI/MAAND NOV. NR. 547423032H5001 IB/PVV 2025 (ROLDAN LEON )/EREF/COAXX381529402202511121844017772261</t>
  </si>
  <si>
    <t>BEA, Apple Pay                   Albert Heijn 1615,PAS184        NR:BS157546, 17.11.25/15:16      HELMOND</t>
  </si>
  <si>
    <t>BEA, Apple Pay                   Lunchcafe Greenhouse,PAS184     NR:417R4M, 18.11.25/16:21        DEURNE</t>
  </si>
  <si>
    <t>BEA, Apple Pay                   COPPELMANS BLOEMEN,PAS184       NR:936DKG, 18.11.25/16:54        DEURNE</t>
  </si>
  <si>
    <t>/TRTP/SEPA Incasso algemeen doorlopend/CSID/NL39KPN271247010001/NAME/KPN B.V./MARF/M10016882311/REMI/Factuur 16-11-2025, klantnummer 9068692552, kpn.com/thuisfactuur./IBAN/NL41INGB0000467598 /BIC/INGBNL2A/EREF/000011372465237</t>
  </si>
  <si>
    <t>BEA, Apple Pay                   ALDI ROE075 HELMOND,PAS184      NR:BS178769, 19.11.25/09:45      HELMOND</t>
  </si>
  <si>
    <t>eCom, Apple Pay                  Thuisbezorgd.nl HCF8WW          19.11.25/14:40                   Utrecht</t>
  </si>
  <si>
    <t>BEA, Apple Pay                   BCK*Rohit Tropische Wi,PAS184   NR:BS121807, 19.11.25/14:49      eindhoven</t>
  </si>
  <si>
    <t>/TRTP/SEPA Incasso algemeen doorlopend/CSID/NL39KPN271247010001/NAME/KPN - Mobiel/MARF/M10022147968/REMI/Factuur 13-11-2025, klantnummer 40105267125, kpn.com/mobielefactuur./IBAN/NL83INGB0000325513/BIC/INGBNL2A/EREF/000001357127149</t>
  </si>
  <si>
    <t>/TRTP/iDEAL/IBAN/NL04ADYB2017400157/BIC/ADYBNL2A/NAME/top-up via bunq/REMI/CH32QZ4CM4GS8NX3385BK 7180126603100777 NL98BUNQ2039178279 top-up/EREF/20-11-2025 08:16 7180126603100777</t>
  </si>
  <si>
    <t>BEA, Apple Pay                   Holiday Inn EIN Airpt,PAS193    NR:31562620, 20.11.25/08:29      Eindhoven</t>
  </si>
  <si>
    <t>BEA, Apple Pay                   Wundermart B.V.,PAS193          NR:05827936, 20.11.25/14:28      Amsterdam</t>
  </si>
  <si>
    <t>BEA, Apple Pay                   Q-Park Centrum Admiran,PAS184   NR:CT398003, 21.11.25/13:34      EINDHOVEN</t>
  </si>
  <si>
    <t>BEA, Apple Pay                   COPPELMANS BLOEMEN,PAS184       NR:936DKG, 21.11.25/17:17        DEURNE</t>
  </si>
  <si>
    <t>BEA, Apple Pay                   AH - Jan Linders 4126,PAS184    NR:B400DY, 21.11.25/17:38        DEURNE</t>
  </si>
  <si>
    <t>BEA, Apple Pay                   Kruidvat 7257,PAS193            NR:3W2T4M, 22.11.25/16:23        BAKEL</t>
  </si>
  <si>
    <t>BEA, Apple Pay                   ALDI ROE065 BAKEL,PAS193        NR:BS178732, 22.11.25/16:36      BAKEL</t>
  </si>
  <si>
    <t>BEA, Apple Pay                   Albert Heijn 1615,PAS184        NR:BS157539, 22.11.25/20:41      HELMOND</t>
  </si>
  <si>
    <t>/TRTP/SEPA Overboeking/IBAN/NL68ABNA0814325297/BIC/ABNANL2A/NAME/GOODHABITZ BV/REMI/SALARISBETALING PERIODE 11/EREF/5-3408955-01-73</t>
  </si>
  <si>
    <t>BEA, Apple Pay                   Lidl 581 Eindhoven,PAS184       NR:87107783, 24.11.25/08:20      EINDHOVEN</t>
  </si>
  <si>
    <t>/TRTP/iDEAL/IBAN/NL82DEUT0265254337/BIC/DEUTNL2AXXX/NAME/Riverty GmbH/REMI/1481ec348574423ba1c77e47d53d7a55 8152034481909407 Riverty GmbH/EREF/24-11-2025 09:04 8152034481909407</t>
  </si>
  <si>
    <t>BEA, Apple Pay                   Albert Heijn 1876,PAS184        NR:BS159198, 24.11.25/14:06      EINDHOVEN</t>
  </si>
  <si>
    <t>BEA, Apple Pay                   REINDERS VLEESWAREN,PAS184      NR:CT452753, 24.11.25/14:08      EINDHOVEN</t>
  </si>
  <si>
    <t>/TRTP/SEPA Incasso algemeen doorlopend/CSID/NL62ZZZ411835980000/NAME/NAT POSTCODE LOTERIJ/MARF/10000000000001026462024221018185/REMI/december 2025 5761JA010/IBAN/NL57ABNA0505050501/BIC/ABNANL2A/EREF/12456202855875</t>
  </si>
  <si>
    <t>/TRTP/SEPA Incasso algemeen doorlopend/CSID/NL07ZZZ565562680000/NAME/JUNIOR EINSTEIN BV/MARF/1296450-18849/REMI/JuniorEinstein.nl +1 maand / 1 gebruiker(s): 31-10-2025 / 30-11-2025/IBAN/NL26INGB0007538295/BIC/INGBNL2A/EREF/a150e</t>
  </si>
  <si>
    <t>/TRTP/SEPA Incasso algemeen doorlopend/CSID/NL08ZZZ502057730000/NAME/Luxplus.nl ApS via Mollie/MARF/MD71-7164-1984-8016/REMI/Subscription 17195905/IBAN/NL50DEUT7022092456/BIC/DEUTNL2AXXX/EREF/SD45-3800-7908-0476</t>
  </si>
  <si>
    <t>BEA, Apple Pay                   The Happiness Cafe EHV,PAS184   NR:12V56H, 25.11.25/10:09        EINDHOVEN</t>
  </si>
  <si>
    <t>BEA, Apple Pay                   Bibliotheek Ehv,PAS184          NR:RCM54N, 25.11.25/10:45        EINDHOVEN</t>
  </si>
  <si>
    <t>BEA, Apple Pay                   NL0035 - H&amp;M,PAS193             NR:86YJ01, 25.11.25/11:34        EINDHOVEN</t>
  </si>
  <si>
    <t>BEA, Apple Pay                   Q-Park Centrum Admiran,PAS184   NR:CT398003, 25.11.25/11:59      EINDHOVEN</t>
  </si>
  <si>
    <t>BEA, Apple Pay                   B377_PetsPlace_Boerenb,PAS184   NR:07068339, 25.11.25/12:48      Helmond</t>
  </si>
  <si>
    <t>BEA, Apple Pay                   CCV*KFC Helmond,PAS184          NR:BS133597, 25.11.25/12:54      HELMOND</t>
  </si>
  <si>
    <t>BEA, Apple Pay                   ALDI ROE075 HELMOND,PAS184      NR:BS178769, 25.11.25/13:13      HELMOND</t>
  </si>
  <si>
    <t>BEA, Apple Pay                   Albert Heijn 1615,PAS184        NR:BS157545, 25.11.25/20:44      HELMOND</t>
  </si>
  <si>
    <t>/TRTP/SEPA Incasso algemeen doorlopend/CSID/NL94ZZZ242961680001/NAME/ENECO EMOBILITY/MARF/EeM-000030418/REMI//EINV/EM25-509311/INV/INV000462152,17112025,R232868,Transacties Laadpas NL-ENE-C00611466-9               /EINV/EM25-509311/INV/INV000462152,/IBAN/NL95ABNA0409617628/BIC/ABNANL2A/EREF/NL014206208TH</t>
  </si>
  <si>
    <t>/TRTP/SEPA Incasso algemeen doorlopend/CSID/NL80ZZZ280818690000/NAME/TAF BV/MARF/TAF0000003046119/REMI/135685754-Premie levensverzekering-december 2025-/IBAN/NL13ABNA0581483413/BIC/ABNANL2A  /EREF/2006-915890-0-1</t>
  </si>
  <si>
    <t>/TRTP/SEPA Incasso algemeen doorlopend/CSID/NL13ZZZ332005960000/NAME/INT CARD SERVICES/MARF/E084151850017001/REMI/Incasso nov 2025 betreffende uw creditcard ICS-klantnummer 84151850017/IBAN/NL23ABNA0818769483/BIC/ABNANL2A/EREF/05764CI001044949</t>
  </si>
  <si>
    <t>/TRTP/SEPA Incasso algemeen doorlopend/CSID/NL79ZZZ050253590000/NAME/Tinka B.V./MARF/1280166993-0/REMI/Betaling vervaldag 02/11/2025 1280166993/IBAN/NL67INGB0002243200/BIC/INGBNL2A/EREF/1280166993.20251118193920.015</t>
  </si>
  <si>
    <t>/TRTP/SEPA Incasso algemeen doorlopend/CSID/NL15ZZZ243026850000/NAME/GREENCHOICE/MARF/4213775/REMI/Recollection for Roldan Leon,5761JA 7 , Klantnummer 1124330, Notanummer GC0113891353 van 01 november 2025/IBAN/NL18INGB0005309282/BIC/INGBNL2A/EREF/GC0113891353-20251124105345</t>
  </si>
  <si>
    <t>/TRTP/SEPA Incasso algemeen doorlopend/CSID/NL64ZZZ171589250000/NAME/SECURITAS DIRECT B.V./MARF/12621680/REMI/01.12.2025 - 31.12.2025/IBAN/NL71BNPA0227754484/BIC/BNPANL2AXXX/EREF/0148706469</t>
  </si>
  <si>
    <t>BEA, Apple Pay                   BCK*Starbucks Vrijenba,PAS184   NR:CT487083, 26.11.25/13:16      RIJSWIJK ZH</t>
  </si>
  <si>
    <t>/TRTP/SEPA Incasso algemeen doorlopend/CSID/NL97ZZZ411263950000/NAME/VRIENDENLOTERIJ/MARF/20000000000001026462024280519182/REMI/december 2025 31533-AA U steunt PSV/IBAN/NL40ABNA0524040400/BIC/ABNANL2A/EREF/12456401303397</t>
  </si>
  <si>
    <t>/TRTP/SEPA Incasso algemeen doorlopend/CSID/NL35ZZZ273653230000/NAME/BELASTINGDIENST/MARF/8622208/REMI/G-746-SN 27-10-2025 t/m 26-11-2025 MEER INFO WWW.BELASTINGDIENST.NL/IBAN/NL86INGB0002445588/BIC/INGBNL2A/EREF/IOAXX9502d5a49db242999847199717415a</t>
  </si>
  <si>
    <t>/TRTP/SEPA Incasso algemeen doorlopend/CSID/NL35ZZZ273653230000/NAME/BELASTINGDIENST/MARF/8622208/REMI/T-090-SK 29-10-2025 t/m 28-11-2025 MEER INFO WWW.BELASTINGDIENST.NL/IBAN/NL86INGB0002445588/BIC/INGBNL2A/EREF/IOAXX298db04368974b5d89c29c9e3bb2f3</t>
  </si>
  <si>
    <t>/TRTP/SEPA Incasso algemeen doorlopend/CSID/NL18ZZZ410952220000/NAME/CZ groep Zorgverzekeraar/MARF/476895707001001001/REMI/kenmerk 7072111257175928 Rel.nr. 476895707 Periode 01-12-2025/31-12-2025 CZ Zorgverzekering -  -/IBAN/NL85INGB0668339063/BIC/INGBNL2A/EREF/SDD0319424651</t>
  </si>
  <si>
    <t>/TRTP/SEPA Incasso algemeen doorlopend/CSID/NL47ZZZ524034240000/NAME/NATIONALE-NED SCHADEVERZ MIJNV/MARF/NNv59563/REMI/Autoverzekering, Polisnr.: 2500041115, Periode: 27-11-2025 - 26-12-2025 /IBAN/NL24INGB0009472802/BIC/INGBNL2A/EREF/19282986</t>
  </si>
  <si>
    <t>BEA, Apple Pay                   Jumbo Bakel Auersch,PAS184      NR:GR0401, 27.11.25/14:00        BAKEL</t>
  </si>
  <si>
    <t>/TRTP/SEPA Incasso algemeen doorlopend/CSID/NL39KPN271247010001/NAME/KPN - Mobiel/MARF/M10014325376/REMI/Factuur 13-11-2025, klantnummer 20192744768, kpn.com/mobielefactuur./IBAN/NL83INGB0000325513/BIC/INGBNL2A/EREF/000001357259587</t>
  </si>
  <si>
    <t>/TRTP/iDEAL/IBAN/NL29DEUT0319800040/BIC/DEUTNL2AXXX/NAME/Zalando Payments GmbH/REMI/10203190538237 8152834796806237 10203190538237/EREF/28-11-2025 15:33 8152834796806237</t>
  </si>
  <si>
    <t>BEA, Apple Pay                   Bershka Eindhoven 6838,PAS184   NR:HQ418F, 28.11.25/16:34        EINDHOVEN</t>
  </si>
  <si>
    <t>BEA, Apple Pay                   URBAN OUTFITTERS 2213,PAS184    NR:83731406, 28.11.25/16:54      EINDHOVEN</t>
  </si>
  <si>
    <t>BEA, Apple Pay                   Manju Streetfood,PAS184         NR:07326430, 28.11.25/17:33      Eindhoven</t>
  </si>
  <si>
    <t>BEA, Apple Pay                   Q-Park Centrum Admiran,PAS184   NR:CT398003, 28.11.25/17:39      EINDHOVEN</t>
  </si>
  <si>
    <t>GEA, Betaalpas                   Geldmaat Sint Wilber 8,PAS184   NR:920548, 28.11.25/19:27        Bakel</t>
  </si>
  <si>
    <t>BEA, Apple Pay                   Bakels Genot B.V.,PAS184        NR:16619750, 28.11.25/21:49      Bakel</t>
  </si>
  <si>
    <t>BEA, Apple Pay                   Hema Deurne,PAS184              NR:71K738, 29.11.25/15:49        DEURNE</t>
  </si>
  <si>
    <t>BEA, Apple Pay                   Kruidvat 2321,PAS184            NR:GL9MM5, 29.11.25/15:59        DEURNE</t>
  </si>
  <si>
    <t>BEA, Apple Pay                   Albert Heijn 1187,PAS184        NR:BS152857, 29.11.25/16:06      DEURNE</t>
  </si>
  <si>
    <t>BEA, Apple Pay                   Biedroneczka Poolse De,PAS184   NR:5XH1RD, 29.11.25/16:30        HELMOND</t>
  </si>
  <si>
    <t>BEA, Apple Pay                   NETTORAMA 19,PAS184             NR:47N2JJ, 30.11.25/17:07        GEMERT</t>
  </si>
  <si>
    <t>/TRTP/SEPA Incasso algemeen doorlopend/CSID/NL98ZZZ343342590000/NAME/ABN AMRO BANK NV/MARF/ST11107006486070001/REMI/Termijnbetaling hypotheek PERIODE 11-2025/IBAN/NL33ABNA0432408118/BIC/ABNANL2A/EREF/000003200063879131NL0758</t>
  </si>
  <si>
    <t>/TRTP/SEPA Incasso algemeen doorlopend/CSID/NL75ZZZ170789750000/NAME/VCN Verzekeringen/MARF/000010465631533/REMI/KENMERK 566624 Pakketpremie Hybride particulier Verzamelnr. 35751239 Vvd. 01-12-2025 Incasso/IBAN/NL97INGB0671063480/BIC/INGBNL2A/EREF/35751239</t>
  </si>
  <si>
    <t>/TRTP/SEPA Incasso algemeen doorlopend/CSID/NL32ZZZ160050770000/NAME/Brabant Water N.V./MARF/MID07528651.2/REMI/Klant:607528651 VOORSCHOT dec, BTW  1,98 5761JA 7/IBAN/NL60RABO0339601213/BIC/RABONL2U/EREF/INC041094647-5759093157</t>
  </si>
  <si>
    <t>/TRTP/SEPA Incasso algemeen doorlopend/CSID/NL51ZZZ301391030000/NAME/MERCEDES-BENZ INSURANCE SERVICES NEDERLAND B.V./MARF/934202308231912339670005/REMI/Kenmerk: 3002.3004.2731.0500 Omschrijving: 003788791 29-11-2025   1 MND 385636DB Mercedes-Benz autoverzekering WA/C Bovemij/IBAN/NL17BNPA0227677080/BIC/BNPANL2AXXX/EREF/3002300427310500</t>
  </si>
  <si>
    <t>/TRTP/SEPA OVERBOEKING/IBAN/NL38DEUT0265254353/BIC/DEUTNL2AXXX /NAME/RIVERTY GMBH/REMI/Teveel betaald aan RFS Holland Holding B.V. Debiteurnr : 75587820, InvoiceNo : 305047261-5/EREF/1556013299</t>
  </si>
  <si>
    <t>BEA, Apple Pay                   CCV*JelCo Carwash B.V.,PAS184   NR:CT656827, 01.12.25/14:11      HELMOND</t>
  </si>
  <si>
    <t>BEA, Apple Pay                   Jumbo Bakel Auersch,PAS184      NR:GR0402, 01.12.25/14:41        BAKEL</t>
  </si>
  <si>
    <t>/TRTP/iDEAL/IBAN/NL27INGB0000026500/BIC/INGBNL2A/NAME/bol.com  /REMI/P1621549254 7051116902739862 bol.com BUN1801300952960/EREF/01-12-2025 17:36 7051116902739862</t>
  </si>
  <si>
    <t>/TRTP/SEPA Incasso algemeen doorlopend/CSID/NL62ZZZ411835980000/NAME/NAT POSTCODE LOTERIJ/MARF/10000000000001026462024221018185/REMI/Jaarlijkse 14e trekking 5761JA010/IBAN/NL57ABNA0505050501/BIC/ABNANL2A/EREF/12456302465677</t>
  </si>
  <si>
    <t>BEA, Apple Pay                   Zapolski Eindhoven,PAS184       NR:9YZF8L, 02.12.25/15:04        EINDHOVEN</t>
  </si>
  <si>
    <t>BEA, Apple Pay                   ALDI ROE065 BAKEL,PAS184        NR:BS178734, 03.12.25/12:58      BAKEL</t>
  </si>
  <si>
    <t>/TRTP/iDEAL/IBAN/NL51DEUT0265262461/BIC/DEUTNL2A/NAME/KLARNA BANK AB via Stichting Mollie Payments/REMI/92840dbc007acda9a6045273fbee811e 8152676008674000 H.M Online NL klarna.com KLARNA BANK AB/EREF/03-12-2025 13:40 8152676008674000</t>
  </si>
  <si>
    <t>/TRTP/iDEAL/IBAN/NL51DEUT0265262461/BIC/DEUTNL2A/NAME/KLARNA BANK AB via Stichting Mollie Payments/REMI/51b9b4b0903b170155c671bd7b167864 8152854208642386 SHEIN klarna.com KLARNA BANK AB/EREF/03-12-2025 13:41 8152854208642386</t>
  </si>
  <si>
    <t>/TRTP/SEPA OVERBOEKING/IBAN/NL36ABNA0546511686/BIC/ABNANL2A/NAME/IA ROLDAN LEON CJ/EREF/NOTPROVIDED</t>
  </si>
  <si>
    <t>BEA, Apple Pay                   Sang Lee Superstore,PAS184      NR:0D3J02, 03.12.25/14:47        EINDHOVEN</t>
  </si>
  <si>
    <t>BEA, Apple Pay                   Kruidvat 0817,PAS193            NR:17HC02, 03.12.25/14:48        EINDHOVEN</t>
  </si>
  <si>
    <t>BEA, Apple Pay                   OOST-WEST SUPERMARKT B,PAS184   NR:50275103, 03.12.25/15:02      EINDHOVEN</t>
  </si>
  <si>
    <t>/TRTP/iDEAL/IBAN/NL04ADYB2017400157/BIC/ADYBNL2A/NAME/Butlaroo Services B.V./REMI/CSTMMRWSCFMW4PH62KIDS 7180424802729611 Bagel and Juice - Strijp-S/EREF/04-12-2025 10:18 7180424802729611</t>
  </si>
  <si>
    <t>BEA, Apple Pay                   Grand cafe Le Verre,PAS184      NR:8ZR734, 04.12.25/19:52        SCHIJNDEL</t>
  </si>
  <si>
    <t>BEA, Apple Pay                   Intertoys,PAS184                NR:TM1304, 05.12.25/15:07        EINDHOVEN</t>
  </si>
  <si>
    <t>BEA, Apple Pay                   TK Maxx,PAS184                  NR:05916998, 05.12.25/15:37      Eindhoven Heu</t>
  </si>
  <si>
    <t>BEA, Apple Pay                   Q PARK HEUVEL,PAS184            NR:CT698647, 05.12.25/15:44      EINDHOVEN</t>
  </si>
  <si>
    <t>BEA, Apple Pay                   Jumbo Bakel Auersch,PAS184      NR:GR0401, 06.12.25/11:14        BAKEL</t>
  </si>
  <si>
    <t>eCom, Apple Pay                  bunq                            06.12.25/12:36                   Amsterdam</t>
  </si>
  <si>
    <t>GEA, Apple Pay                   Geldmaat Sint Wilber 8,PAS184   NR:920548, 06.12.25/15:18        Bakel</t>
  </si>
  <si>
    <t>BEA, Apple Pay                   Jumbo Bakel Auersch,PAS184      NR:GR0401, 06.12.25/15:41        BAKEL</t>
  </si>
  <si>
    <t>/TRTP/iDEAL/IBAN/NL51DEUT0265262461/BIC/DEUTNL2A/NAME/KLARNA BANK AB via Stichting Mollie Payments/REMI/c9acbcdb4cba8cec82da134b9f5ed26a 8152975993630194 H.M Online NL klarna.com KLARNA BANK AB/EREF/07-12-2025 19:20 8152975993630194</t>
  </si>
  <si>
    <t>/TRTP/iDEAL/IBAN/NL51DEUT0265262461/BIC/DEUTNL2A/NAME/KLARNA BANK AB via Stichting Mollie Payments/REMI/d24c120b5a95d698a8486674365605dc 8152796908539246 H.M Online NL klarna.com KLARNA BANK AB/EREF/07-12-2025 19:21 8152796908539246</t>
  </si>
  <si>
    <t>/TRTP/iDEAL/IBAN/NL35RABO0117713678/BIC/RABONL2U/NAME/Mywheels /REMI/3203915022Xeaabd 7370625096657800 Tegoedbon/EREF/08-12-2025 06:52 7370625096657800</t>
  </si>
  <si>
    <t>BEA, Apple Pay                   Amazing Oriental Eindh,PAS184   NR:4Y066C, 08.12.25/14:47        EINDHOVEN</t>
  </si>
  <si>
    <t>/TRTP/SEPA Incasso algemeen doorlopend/CSID/NL15ZZZ243026850000/NAME/GREENCHOICE/MARF/4213775/REMI/Roldan Leon,5761JA 7 , Klantnummer 1124330, Notanummer GC0114562103 van 01 december 2025/IBAN/NL18INGB0005309282/BIC/INGBNL2A/EREF/GC0114562103-20251204090622</t>
  </si>
  <si>
    <t>BEA, Apple Pay                   NobraCars B.V.,PAS184           NR:743201, 08.12.25/17:02        EINDHOVEN</t>
  </si>
  <si>
    <t>BEA, Apple Pay                   Haarloods BAKEL,PAS184          NR:4T2SRD, 08.12.25/18:00        BAKEL</t>
  </si>
  <si>
    <t>/TRTP/SEPA Incasso algemeen doorlopend/CSID/NL79ZZZ050253590000/NAME/Tinka B.V./MARF/1280166993-0/REMI/Betaling vervaldag 02/12/2025 1280166993/IBAN/NL67INGB0002243200/BIC/INGBNL2A/EREF/1280166993.20251201193748.016</t>
  </si>
  <si>
    <t>/TRTP/iDEAL/IBAN/NL27INGB0000026500/BIC/INGBNL2A/NAME/bol.com  /REMI/P1625220941 7051095699653810 bol.com BUN1801302587724/EREF/09-12-2025 08:07 7051095699653810</t>
  </si>
  <si>
    <t>BEA, Apple Pay                   Jumbo Bakel Auersch,PAS184      NR:GR0401, 09.12.25/19:11        BAKEL</t>
  </si>
  <si>
    <t>/TRTP/SEPA Incasso algemeen doorlopend/CSID/NL39KPN271247010001/NAME/KPN - Mobiel/MARF/M10026094772/REMI/Factuur 03-12-2025, klantnummer 40109950659, kpn.com/mobielefactuur./IBAN/NL83INGB0000325513/BIC/INGBNL2A/EREF/000001359356554</t>
  </si>
  <si>
    <t>/TRTP/iDEAL/IBAN/NL51DEUT0265262461/BIC/DEUTNL2A/NAME/KLARNA BANK AB via Stichting Mollie Payments/REMI/7ab57ba180b4e25a86b94fc67562d560 8152434202532409 H.M Online NL klarna.com KLARNA BANK AB/EREF/10-12-2025 19:21 8152434202532409</t>
  </si>
  <si>
    <t>BEA, Apple Pay                   Albert Heijn 1615,PAS184        NR:BS157546, 11.12.25/18:13      HELMOND</t>
  </si>
  <si>
    <t>BEA, Apple Pay                   ALDI ROE065 BAKEL,PAS184        NR:BS178734, 12.12.25/17:22      BAKEL</t>
  </si>
  <si>
    <t>/TRTP/SEPA Incasso algemeen doorlopend/CSID/NL39KPN271247010001/NAME/KPN - Mobiel/MARF/M10019074063/REMI/Factuur 08-12-2025, klantnummer 40102619132, kpn.com/mobielefactuur./IBAN/NL83INGB0000325513/BIC/INGBNL2A/EREF/000001359827814</t>
  </si>
  <si>
    <t>/TRTP/SEPA OVERBOEKING/IBAN/NL36INGB0003445588/BIC/INGBNL2A/NAME/BELASTINGDIENST/REMI/MAAND DEC. NR. 547423032H5001 IB/PVV 2025 (ROLDAN LEON )/EREF/COAXX755393087202512101838044005744</t>
  </si>
  <si>
    <t>BEA, Apple Pay                   bauXpert Dittmer,PAS184         NR:AC388188, 16.12.25/07:38      Luetjenburg, Land: DEU</t>
  </si>
  <si>
    <t>BEA, Apple Pay                   REWE Stephan Matthies,PAS184    NR:56019730, 16.12.25/07:55      Luetjenburg, Land: DEU</t>
  </si>
  <si>
    <t>/TRTP/SEPA Incasso algemeen doorlopend/CSID/NL62ZZZ300756476075/NAME/AEGON LEVENSVERZEKERING/MARF/040000061879/REMI/L61587671 Premie per 17-12-2025 Overlijdensrisicoverzekering/IBAN/NL48ABNA0132698897/BIC/ABNANL2A/EREF/IKEN478001731866</t>
  </si>
  <si>
    <t>BEA, Apple Pay                   Kruidvat 7257,PAS193            NR:3W2T4M, 17.12.25/16:08        BAKEL</t>
  </si>
  <si>
    <t>BEA, Apple Pay                   Konditorei Junge GmbH,PAS184    NR:65479701, 18.12.25/08:54      LÜbeck, Land: DEU</t>
  </si>
  <si>
    <t>/TRTP/SEPA Overboeking/IBAN/NL68ABNA0814325297/BIC/ABNANL2A/NAME/GOODHABITZ BV/REMI/SALARISBETALING PERIODE 12/EREF/5-3437482-01-70</t>
  </si>
  <si>
    <t>BEA, Apple Pay                   C&amp;M*Eetcafe de Gouden,PAS184    NR:CT934253, 18.12.25/20:42      Bakel</t>
  </si>
  <si>
    <t>/TRTP/SEPA Incasso algemeen doorlopend/CSID/NL39KPN271247010001/NAME/KPN B.V./MARF/M10016882311/REMI/Factuur 16-12-2025, klantnummer 9068692552, kpn.com/thuisfactuur./IBAN/NL41INGB0000467598 /BIC/INGBNL2A/EREF/000011376096735</t>
  </si>
  <si>
    <t>/TRTP/SEPA Incasso algemeen doorlopend/CSID/NL39KPN271247010001/NAME/KPN - Mobiel/MARF/M10022147968/REMI/Factuur 12-12-2025, klantnummer 40105267125, kpn.com/mobielefactuur./IBAN/NL83INGB0000325513/BIC/INGBNL2A/EREF/000001360588066</t>
  </si>
  <si>
    <t>/TRTP/iDEAL/IBAN/NL51DEUT0265262461/BIC/DEUTNL2A/NAME/KLARNA BANK AB via Stichting Mollie Payments/REMI/194547186d9e576d56146b912362a0be 8152574481414341 Global-e klarna.com KLARNA BANK AB/EREF/19-12-2025 12:10 8152574481414341</t>
  </si>
  <si>
    <t>/TRTP/iDEAL/IBAN/NL51DEUT0265262461/BIC/DEUTNL2A/NAME/KLARNA BANK AB via Stichting Mollie Payments/REMI/de0f8dce7593c03ee720005396d52005 8152415984263909 Yours clothing klarna.com KLARNA BANK AB/EREF/19-12-2025 12:10 8152415984263909</t>
  </si>
  <si>
    <t>BEA, Apple Pay                   Q-Park Centrum Admiran,PAS184   NR:CT398003, 19.12.25/13:46      EINDHOVEN</t>
  </si>
  <si>
    <t>BEA, Betaalpas                   EWE Go GmbH,PAS184              NR:60731073 18.12.25/11.00       Oldenburg,Land: DE</t>
  </si>
  <si>
    <t>BEA, Apple Pay                   Jumbo Bakel Auersch,PAS184      NR:GR0402, 19.12.25/16:58        BAKEL</t>
  </si>
  <si>
    <t>BEA, Apple Pay                   Q PARK HEUVEL,PAS193            NR:CT698647, 19.12.25/21:11      EINDHOVEN</t>
  </si>
  <si>
    <t>BEA, Apple Pay                   Takumi Ramen Eindhoven,PAS184   NR:088929EQ, 20.12.25/19:05      EINDHOVEN</t>
  </si>
  <si>
    <t>BEA, Apple Pay                   Bijenkorf,PAS184                NR:03846662, 20.12.25/19:17      Eindhoven</t>
  </si>
  <si>
    <t>BEA, Apple Pay                   Q PARK HEUVEL,PAS184            NR:CT698647, 20.12.25/19:30      EINDHOVEN</t>
  </si>
  <si>
    <t>BEA, Apple Pay                   NETTORAMA 19,PAS184             NR:23T315, 21.12.25/16:11        GEMERT</t>
  </si>
  <si>
    <t>/TRTP/iDEAL/IBAN/NL82DEUT0265254337/BIC/DEUTNL2AXXX/NAME/Riverty GmbH/REMI/52dfc3c7a75a490eba244b61cc716b24 8152736007956460 Riverty GmbH/EREF/22-12-2025 12:02 8152736007956460</t>
  </si>
  <si>
    <t>BEA, Apple Pay                   Lunchcafe Greenhouse,PAS184     NR:417R4M, 22.12.25/15:36        DEURNE</t>
  </si>
  <si>
    <t>BEA, Apple Pay                   COPPELMANS BLOEMEN,PAS184       NR:936DKG, 22.12.25/15:54        DEURNE</t>
  </si>
  <si>
    <t>BEA, Apple Pay                   Albert Heijn 1615,PAS184        NR:BS157548, 23.12.25/15:38      HELMOND</t>
  </si>
  <si>
    <t>BEA, Apple Pay                   KIPPERIJ HELMOND,PAS184         NR:50332285, 23.12.25/15:40      HELMOND</t>
  </si>
  <si>
    <t>/TRTP/SEPA Incasso algemeen doorlopend/CSID/NL80ZZZ280818690000/NAME/TAF BV/MARF/TAF0000003046119/REMI/137133790-Premie levensverzekering-januari 2026-/IBAN/NL13ABNA0581483413/BIC/ABNANL2A   /EREF/2022-915890-0-1</t>
  </si>
  <si>
    <t>/TRTP/SEPA Incasso algemeen doorlopend/CSID/NL97ZZZ411263950000/NAME/VRIENDENLOTERIJ/MARF/20000000000001026462024280519182/REMI/januari 2026 31533-AA U steunt PSV/IBAN/NL40ABNA0524040400/BIC/ABNANL2A/EREF/12467801349312</t>
  </si>
  <si>
    <t>/TRTP/SEPA Incasso algemeen doorlopend/CSID/NL08ZZZ502057730000/NAME/Luxplus.nl ApS via Mollie/MARF/MD71-7164-1984-8016/REMI/Subscription 17398558/IBAN/NL50DEUT7022092456/BIC/DEUTNL2AXXX/EREF/SD32-9339-3429-3351</t>
  </si>
  <si>
    <t>/TRTP/SEPA Incasso algemeen doorlopend/CSID/NL64ZZZ171589250000/NAME/SECURITAS DIRECT B.V./MARF/12621680/REMI/01.01.2026 - 31.01.2026/IBAN/NL71BNPA0227754484/BIC/BNPANL2AXXX/EREF/0148838365</t>
  </si>
  <si>
    <t>/TRTP/SEPA OVERBOEKING/IBAN/NL98RABO0199653682/BIC/RABONL2U/NAME/Kerstens Hoveniersbedrijf/REMI/Factuurnummer: 25063/EREF/NOTPROVIDED</t>
  </si>
  <si>
    <t>/TRTP/iDEAL/IBAN/NL29DEUT0319800040/BIC/DEUTNL2AXXX/NAME/Zalando Payments GmbH/REMI/10203191650812 8152684796125177 10203191650812/EREF/25-12-2025 18:19 8152684796125177</t>
  </si>
  <si>
    <t>BEA, Apple Pay                   CCV*CARPRO HELMOND BV,PAS184    NR:CT457821, 26.12.25/14:29      HELMOND</t>
  </si>
  <si>
    <t>BEA, Apple Pay                   Zara Rechtestraat,PAS193        NR:10KKY6, 26.12.25/15:41        EINDHOVEN</t>
  </si>
  <si>
    <t>BEA, Apple Pay                   Tiger Stores Eindhoven,PAS184   NR:8BN228, 26.12.25/15:47        EINDHOVEN</t>
  </si>
  <si>
    <t>BEA, Apple Pay                   TK Maxx,PAS184                  NR:06472630, 26.12.25/16:03      Eindhoven Heu</t>
  </si>
  <si>
    <t>BEA, Apple Pay                   DADAWAN Eindhoven,PAS184        NR:47402001, 26.12.25/17:03      Eindhoven</t>
  </si>
  <si>
    <t>BEA, Apple Pay                   Q PARK HEUVEL,PAS184            NR:CT698647, 26.12.25/17:12      EINDHOVEN</t>
  </si>
  <si>
    <t>BEA, Apple Pay                   ALDI ROE065 BAKEL,PAS184        NR:BS178733, 26.12.25/17:48      BAKEL</t>
  </si>
  <si>
    <t>/TRTP/iDEAL/IBAN/NL51DEUT0265262461/BIC/DEUTNL2A/NAME/KLARNA BANK AB via Stichting Mollie Payments/REMI/7934c54c1ae06d56bbb2a5e8695ee7bd 8152656884118748 H.M Online NL klarna.com KLARNA BANK AB/EREF/28-12-2025 09:25 8152656884118748</t>
  </si>
  <si>
    <t>BEA, Apple Pay                   B377_PetsPlace_Boerenb,PAS184   NR:07068339, 28.12.25/15:00      Helmond</t>
  </si>
  <si>
    <t>BEA, Apple Pay                   CCV*KFC Helmond,PAS184          NR:BS133596, 28.12.25/15:07      HELMOND</t>
  </si>
  <si>
    <t>BEA, Apple Pay                   Kruidvat 7257,PAS193            NR:3W2T4M, 28.12.25/15:32        BAKEL</t>
  </si>
  <si>
    <t>/TRTP/iDEAL/IBAN/NL04ADYB2017400157/BIC/ADYBNL2A/NAME/top-up via bunq/REMI/B6D9N6BHD63KCTD3385BK 7180546604938010 NL38BUNQ2041223537 top-up/EREF/28-12-2025 22:19 7180546604938010</t>
  </si>
  <si>
    <t>/TRTP/SEPA Incasso algemeen doorlopend/CSID/NL94ZZZ242961680001/NAME/ENECO EMOBILITY/MARF/EeM-000030418/REMI//EINV/EM25-536572/INV/INV000475052,15122025,R232868,Abonnementen Laadpassen                              /EINV/EM25-536572/INV/INV000475052,/IBAN/NL95ABNA0409617628/BIC/ABNANL2A/EREF/NL014366050TH</t>
  </si>
  <si>
    <t>/TRTP/SEPA Incasso algemeen doorlopend/CSID/NL13ZZZ332005960000/NAME/INT CARD SERVICES/MARF/E084151850017001/REMI/Incasso dec 2025 betreffende uw creditcard ICS-klantnummer 84151850017/IBAN/NL23ABNA0818769483/BIC/ABNANL2A/EREF/05794CI001043812</t>
  </si>
  <si>
    <t>/TRTP/SEPA Incasso algemeen doorlopend/CSID/NL62ZZZ411835980000/NAME/NAT POSTCODE LOTERIJ/MARF/10000000000001026462024221018185/REMI/januari 2026 5761JA010/IBAN/NL57ABNA0505050501/BIC/ABNANL2A/EREF/12467702850069</t>
  </si>
  <si>
    <t>/TRTP/SEPA Incasso algemeen doorlopend/CSID/NL39KPN271247010001/NAME/KPN - Mobiel/MARF/M10014325376/REMI/Factuur 12-12-2025, klantnummer 20192744768, kpn.com/mobielefactuur./IBAN/NL83INGB0000325513/BIC/INGBNL2A/EREF/000001360549240</t>
  </si>
  <si>
    <t>/TRTP/SEPA Incasso algemeen doorlopend/CSID/NL18ZZZ410952220000/NAME/CZ groep Zorgverzekeraar/MARF/476895707001001001/REMI/kenmerk 6071112258818263 Rel.nr. 476895707 Kenmerk 6071112258818263 -  -/IBAN/NL85INGB0668339063/BIC/INGBNL2A/EREF/SDD0322191024</t>
  </si>
  <si>
    <t>/TRTP/SEPA Incasso algemeen doorlopend/CSID/NL35ZZZ273653230000/NAME/BELASTINGDIENST/MARF/8622208/REMI/T-090-SK 29-11-2025 t/m 28-12-2025 MEER INFO WWW.BELASTINGDIENST.NL/IBAN/NL86INGB0002445588/BIC/INGBNL2A/EREF/IOAXX2d763edddffd45f1a4e1676f50380f</t>
  </si>
  <si>
    <t>/TRTP/SEPA Incasso algemeen doorlopend/CSID/NL07ZZZ565562680000/NAME/JUNIOR EINSTEIN BV/MARF/1296450-18849/REMI/JuniorEinstein.nl +1 maand / 1 gebruiker(s): 01-12-2025 / 31-12-2025/IBAN/NL26INGB0007538295/BIC/INGBNL2A/EREF/a3025</t>
  </si>
  <si>
    <t>/TRTP/SEPA Incasso algemeen doorlopend/CSID/NL18ZZZ410952220000/NAME/CZ groep Zorgverzekeraar/MARF/476895707001001001/REMI/kenmerk 3071912250369717 Rel.nr. 476895707 Periode 01-01-2026/31-01-2026 CZ Zorgverzekering -  -/IBAN/NL85INGB0668339063/BIC/INGBNL2A/EREF/SDD0321684371</t>
  </si>
  <si>
    <t>/TRTP/SEPA Incasso algemeen doorlopend/CSID/NL47ZZZ524034240000/NAME/NATIONALE-NED SCHADEVERZ MIJNV/MARF/NNv59563/REMI/Autoverzekering, Polisnr.: 2500041115, Periode: 27-12-2025 - 26-01-2026 /IBAN/NL24INGB0009472802/BIC/INGBNL2A/EREF/19830984</t>
  </si>
  <si>
    <t>/TRTP/SEPA Incasso algemeen doorlopend/CSID/NL51ZZZ301391030000/NAME/MERCEDES-BENZ INSURANCE SERVICES NEDERLAND B.V./MARF/934202308231912339670005/REMI/Kenmerk: 5002.3219.7931.0500 Omschrijving: 003807873 29-12-2025   1 MND 385636DB Mercedes-Benz autoverzekering WA/C Bovemij/IBAN/NL17BNPA0227677080/BIC/BNPANL2AXXX/EREF/5002321979310500</t>
  </si>
  <si>
    <t>/TRTP/SEPA Incasso algemeen doorlopend/CSID/NL35ZZZ273653230000/NAME/BELASTINGDIENST/MARF/8622208/REMI/G-746-SN 27-11-2025 t/m 26-12-2025 MEER INFO WWW.BELASTINGDIENST.NL/IBAN/NL86INGB0002445588/BIC/INGBNL2A/EREF/IOAXX565fa1e93944417a98c3e9475ca399</t>
  </si>
  <si>
    <t>GEA, Betaalpas                   ATM 618 Auchan,PAS184           NR:00000618, 30.12.25/18:30      Luxembourg, Land: LUX</t>
  </si>
  <si>
    <t>BEA, Apple Pay                   Auchan Luxembourg,PAS184        NR:31424860, 30.12.25/19:33      Luxembourg, Land: LUX</t>
  </si>
  <si>
    <t>BEA, Apple Pay                   MEDI-MARKET KIRCHBERG,PAS193    NR:01718240, 30.12.25/19:37      KIRCHBERG LUX, Land: LUX</t>
  </si>
  <si>
    <t>BEA, Betaalpas                   ORIENT X,PAS184                 NR:98552107, 30.12.25/19:45      LUXEMBOURG, Land: LUX</t>
  </si>
  <si>
    <t>BEA, Betaalpas                   Saffron,PAS184                  NR:16433124, 30.12.25/20:49      LUXEMBOURG, Land: LUX</t>
  </si>
  <si>
    <t>/TRTP/SEPA Incasso algemeen doorlopend/CSID/NL98ZZZ343342590000/NAME/ABN AMRO BANK NV/MARF/ST11107006486070001/REMI/Termijnbetaling hypotheek PERIODE 12-2025/IBAN/NL33ABNA0432408118/BIC/ABNANL2A/EREF/000003210170521131NL0760</t>
  </si>
  <si>
    <t>/TRTP/iDEAL/IBAN/NL04ADYB2017400157/BIC/ADYBNL2A/NAME/top-up via bunq/REMI/NZ2J4G75SFX5R7H6385BK 7180516580898125 NL38BUNQ2041223537 top-up/EREF/31-12-2025 16:16 7180516580898125</t>
  </si>
  <si>
    <t>/TRTP/SEPA Incasso algemeen doorlopend/CSID/NL32ZZZ160050770000/NAME/Brabant Water N.V./MARF/MID07528651.2/REMI/Klant:607528651 VOORSCHOT jan, BTW  1,98 5761JA 7/IBAN/NL60RABO0339601213/BIC/RABONL2U/EREF/INC043252804-5762399304</t>
  </si>
  <si>
    <t>/TRTP/SEPA Incasso algemeen doorlopend/CSID/NL75ZZZ170789750000/NAME/VCN Verzekeringen/MARF/000010465631533/REMI/KENMERK 566624 Pakketpremie Hybride particulier Verzamelnr. 35974249 Vvd. 01-01-2026 machtigingen/IBAN/NL97INGB0671063480/BIC/INGBNL2A/EREF/35974249</t>
  </si>
  <si>
    <t>/TRTP/SEPA OVERBOEKING/IBAN/NL16RABO0317347780/BIC/RABONL2U/NAME/Sociale Verzekeringsbank/REMI/KINDERBIJSLAG 4e kwart. 25 VZ65963910 WWW.SVB.NL Sociale Verzekeringsbank/EREF/VZ6596391001022025122901</t>
  </si>
  <si>
    <t>/TRTP/iDEAL/IBAN/NL04ADYB2017400157/BIC/ADYBNL2A/NAME/top-up via bunq/REMI/C2M9BDNBGK3CQZW3385BK 7180124192711348 NL38BUNQ2041223537 top-up/EREF/02-01-2026 10:13 7180124192711348</t>
  </si>
  <si>
    <t>BEA, Apple Pay                   Auchan Luxembourg,PAS184        NR:31424852, 02.01.26/11:15      Luxembourg, Land: LUX</t>
  </si>
  <si>
    <t>BEA, Betaalpas                   Parking Auchan,PAS184           NR:21604581, 02.01.26/11:41      Luxembourg, Land: LUX</t>
  </si>
  <si>
    <t>BEA, Apple Pay                   Aral Capellen - Shop,PAS184     NR:41117602, 02.01.26/12:13      Capellen, Land: LUX</t>
  </si>
  <si>
    <t>BEA, Apple Pay                   A BARRAQUE DE FRAITURE,PAS184   NR:01203847, 02.01.26/13:31      VIELSALM, Land: BEL</t>
  </si>
  <si>
    <t>BEA, Apple Pay                   ALDI ROE065 BAKEL,PAS184        NR:BS178733, 02.01.26/18:15      BAKEL</t>
  </si>
  <si>
    <t>BEA, Apple Pay                   ALDI ROE065 BAKEL,PAS184        NR:BS178732, 03.01.26/16:32      BAKEL</t>
  </si>
  <si>
    <t>BEA, Apple Pay                   ALDI ROE065 BAKEL,PAS184        NR:BS178732, 04.01.26/13:15      BAKEL</t>
  </si>
  <si>
    <t>/TRTP/iDEAL/IBAN/NL51DEUT0265262461/BIC/DEUTNL2A/NAME/KLARNA BANK AB via Stichting Mollie Payments/REMI/41beb4e80ed2e3f87bc0090bc243272b 8152576004664614 SHEIN klarna.com KLARNA BANK AB/EREF/08-01-2026 07:30 8152576004664614</t>
  </si>
  <si>
    <t>SEPA Overboeking                 IBAN: NL63ABNA0465631533        BIC: ABNANL2A                    Naam: IA ROLDAN LEON CJ         Kenmerk: NOTPROVIDED</t>
  </si>
  <si>
    <t>/TRTP/SEPA OVERBOEKING/IBAN/NL63ABNA0465631533/BIC/ABNANL2A/NAME/Priverekening/EREF/NOTPROVIDED</t>
  </si>
  <si>
    <t>Basic interest                   over the period from            31-12-2024 to 31-12-2025         For interest rates please visit www.abnamro.nl/rente</t>
  </si>
  <si>
    <t>Fixed Monthly Expenses</t>
  </si>
  <si>
    <t>Based on 5 months of data (Sep 2025 - Jan 2026)</t>
  </si>
  <si>
    <t>Category</t>
  </si>
  <si>
    <t>Expense</t>
  </si>
  <si>
    <t>Monthly</t>
  </si>
  <si>
    <t>Annual</t>
  </si>
  <si>
    <t>Housing</t>
  </si>
  <si>
    <t>Mortgage (ABN AMRO)</t>
  </si>
  <si>
    <t>Utilities</t>
  </si>
  <si>
    <t>Energy (Greenchoice)</t>
  </si>
  <si>
    <t>Water (Brabant Water)</t>
  </si>
  <si>
    <t>Insurance</t>
  </si>
  <si>
    <t>Health Insurance (CZ)</t>
  </si>
  <si>
    <t>Car Insurance (Mercedes-Benz)</t>
  </si>
  <si>
    <t>Home Insurance (VCN)</t>
  </si>
  <si>
    <t>Car Insurance (Nationale-Ned.)</t>
  </si>
  <si>
    <t>Life Insurance (TAF)</t>
  </si>
  <si>
    <t>Life Insurance (Aegon)</t>
  </si>
  <si>
    <t>Telecom</t>
  </si>
  <si>
    <t>KPN (Internet/Home)</t>
  </si>
  <si>
    <t>KPN (Mobile)</t>
  </si>
  <si>
    <t>Finance</t>
  </si>
  <si>
    <t>Tinka (Loan)</t>
  </si>
  <si>
    <t>Security</t>
  </si>
  <si>
    <t>Securitas (Alarm)</t>
  </si>
  <si>
    <t>Taxes</t>
  </si>
  <si>
    <t>Belastingdienst</t>
  </si>
  <si>
    <t>Subscriptions</t>
  </si>
  <si>
    <t>Lottery (Postcode + Vrienden)</t>
  </si>
  <si>
    <t>Junior Einstein (Kids)</t>
  </si>
  <si>
    <t>Luxplus</t>
  </si>
  <si>
    <t>Bank</t>
  </si>
  <si>
    <t>ABN AMRO Bank Fees</t>
  </si>
  <si>
    <t>TOTAL</t>
  </si>
  <si>
    <t>Summary by Category</t>
  </si>
  <si>
    <t>% of Total</t>
  </si>
  <si>
    <t>Other</t>
  </si>
  <si>
    <t>lastFourDigits</t>
  </si>
  <si>
    <t>countryCode</t>
  </si>
  <si>
    <t>transactionDate</t>
  </si>
  <si>
    <t>description</t>
  </si>
  <si>
    <t>billingAmount</t>
  </si>
  <si>
    <t>billingCurrency</t>
  </si>
  <si>
    <t>sourceAmount</t>
  </si>
  <si>
    <t>sourceCurrency</t>
  </si>
  <si>
    <t>merchantCategoryCodeDescription</t>
  </si>
  <si>
    <t>typeOfTransaction</t>
  </si>
  <si>
    <t>batchNr</t>
  </si>
  <si>
    <t>batchSequenceNr</t>
  </si>
  <si>
    <t>typeOfPurchase</t>
  </si>
  <si>
    <t>processingTime</t>
  </si>
  <si>
    <t>walletProvider</t>
  </si>
  <si>
    <t>indicatorExtraCard</t>
  </si>
  <si>
    <t>embossingName</t>
  </si>
  <si>
    <t>directDebitState</t>
  </si>
  <si>
    <t>mobile</t>
  </si>
  <si>
    <t>loyaltyPoints</t>
  </si>
  <si>
    <t>chargeBackAllowed</t>
  </si>
  <si>
    <t>IRL</t>
  </si>
  <si>
    <t>APPLE.COM/BILL CORK IRL</t>
  </si>
  <si>
    <t>Digital Goods-Multi Categ</t>
  </si>
  <si>
    <t>T</t>
  </si>
  <si>
    <t>ONLINE</t>
  </si>
  <si>
    <t>H</t>
  </si>
  <si>
    <t>I.A. ROLDAN LEON</t>
  </si>
  <si>
    <t>NLD</t>
  </si>
  <si>
    <t>EASYPARKNLCOM EASYPARK.NL NLD</t>
  </si>
  <si>
    <t>Automobile Parking</t>
  </si>
  <si>
    <t>APPLE_PAY</t>
  </si>
  <si>
    <t>US </t>
  </si>
  <si>
    <t>YOU NEED A BUDGET LLC  LEHI          USA</t>
  </si>
  <si>
    <t>USD</t>
  </si>
  <si>
    <t>Computer Software Stores</t>
  </si>
  <si>
    <t>A</t>
  </si>
  <si>
    <t>MLT</t>
  </si>
  <si>
    <t>CLARITYCHECK.COM/EU ST. JULIANS MLT</t>
  </si>
  <si>
    <t>Digital Goods-Softw. Appl</t>
  </si>
  <si>
    <t>Q PARK OP NLD I I (ONL MAASTRICHT NLD</t>
  </si>
  <si>
    <t>CAN</t>
  </si>
  <si>
    <t>1PASSWORD TORONTO CAN</t>
  </si>
  <si>
    <t>TAP ELECTRIC CHARGING AMSTERDAM NLD</t>
  </si>
  <si>
    <t>Electric Vehicle Charging</t>
  </si>
  <si>
    <t>BEL</t>
  </si>
  <si>
    <t>PAYPAL *MUSESCORE 35314369001 BEL</t>
  </si>
  <si>
    <t>Digital Goods-Audiovisual</t>
  </si>
  <si>
    <t>CA </t>
  </si>
  <si>
    <t>1PASSWORD              TORONTO       CAN</t>
  </si>
  <si>
    <t>USA</t>
  </si>
  <si>
    <t>OMI BASED HARDWARE SAN FRANCISCO USA</t>
  </si>
  <si>
    <t>GAMMA HELMOND (44) HELMOND NLD</t>
  </si>
  <si>
    <t>Construction Materials</t>
  </si>
  <si>
    <t>OTHER</t>
  </si>
  <si>
    <t>NETLIFY SAN FRANCISCO USA</t>
  </si>
  <si>
    <t>MICROSOFT DUBLIN IRL</t>
  </si>
  <si>
    <t>CLAUDE.AI SUBSCRIPTION SAN FRANCISCO USA</t>
  </si>
  <si>
    <t>ELEVENLABS.IO NEW YORK USA</t>
  </si>
  <si>
    <t>CURSOR, AI POWERED IDE NEW YORK USA</t>
  </si>
  <si>
    <t>GBR</t>
  </si>
  <si>
    <t>PRIME VIDEO *ZG3CK9NO4 LONDON GBR</t>
  </si>
  <si>
    <t>DIGITALOCEAN.COM AMSTERDAM NLD</t>
  </si>
  <si>
    <t>SGP</t>
  </si>
  <si>
    <t>PAYPAL *NINTENDO 4029357733 SGP</t>
  </si>
  <si>
    <t>Digital Goods-Games</t>
  </si>
  <si>
    <t>CURSOR USAGE  NOV NEW YORK USA</t>
  </si>
  <si>
    <t>CHATPRD, LLC SAN FRANCISCO USA</t>
  </si>
  <si>
    <t>GEINCASSEERD VORIG SALDO</t>
  </si>
  <si>
    <t>P</t>
  </si>
  <si>
    <t>S</t>
  </si>
  <si>
    <t>PREDATOR POACHERS HOUSTON USA</t>
  </si>
  <si>
    <t>NATE AI NEWS + CONSULT SEATTLE USA</t>
  </si>
  <si>
    <t>Organizations,Membership</t>
  </si>
  <si>
    <t>VERCEL INC. COVINA USA</t>
  </si>
  <si>
    <t>Computer Programming</t>
  </si>
  <si>
    <t>SP OMI AI SAN FRANCISCO USA</t>
  </si>
  <si>
    <t>Electronic Sales</t>
  </si>
  <si>
    <t>AD FREE FOR *Z56818JC4 LONDON GBR</t>
  </si>
  <si>
    <t>LUX</t>
  </si>
  <si>
    <t>AMZNPRIMENL*Z54RG2F04 LUXEMBOURG LUX</t>
  </si>
  <si>
    <t>Miscellaneous Retail Stor</t>
  </si>
  <si>
    <t>STRIPE-Z.AI SINGAPORE SGP</t>
  </si>
  <si>
    <t>DEU</t>
  </si>
  <si>
    <t>NINTENDO CA1525943782 FRANKFURT AM DEU</t>
  </si>
  <si>
    <t>HP INSTANT INK NL AMSTELVEEN NLD</t>
  </si>
  <si>
    <t>LIDL NEDERLAND GMBH HUIZEN NLD</t>
  </si>
  <si>
    <t>Grocery Stores</t>
  </si>
  <si>
    <t>GAMMA.APP SAN FRANCISCO USA</t>
  </si>
  <si>
    <t>NOTION LABS, INC. SAN FRANCISCO USA</t>
  </si>
  <si>
    <t>RAYCAST.COM CHESHIRE GBR</t>
  </si>
  <si>
    <t>TESLA INC. MUNICH DEU</t>
  </si>
  <si>
    <t>NL </t>
  </si>
  <si>
    <t>Tesla Inc.             MUNICH        DEU</t>
  </si>
  <si>
    <t>T3 CHAT SAN FRANCISCO USA</t>
  </si>
  <si>
    <t>CODEANT AI SAN FRANCISCO USA</t>
  </si>
  <si>
    <t>CYP</t>
  </si>
  <si>
    <t>SA_COPYMIND NICOSIA CYP</t>
  </si>
  <si>
    <t>Schools and Educational</t>
  </si>
  <si>
    <t>RASTANLAGE DAMMER BERG HOLDORF DEU</t>
  </si>
  <si>
    <t>Eating Places</t>
  </si>
  <si>
    <t>DROPBOX*R7P85JTQ65WW DB.TT/CCHELP IRL</t>
  </si>
  <si>
    <t>Computer Network</t>
  </si>
  <si>
    <t>Tesla Inc.             AMSTERDAM     NLD</t>
  </si>
  <si>
    <t>PRT</t>
  </si>
  <si>
    <t>PADDLE.NET* SETAPP LISBOA PRT</t>
  </si>
  <si>
    <t>TAP ELECTR* TAP EV CHA AMSTERDAM NLD</t>
  </si>
  <si>
    <t>SUPABASE SINGAPORE SGP</t>
  </si>
  <si>
    <t>OBOE LABS INC NEW YORK USA</t>
  </si>
  <si>
    <t>PARKEERGARAGE STATIONS 'S-HERTOGENBO NLD</t>
  </si>
  <si>
    <t>ZETTLE_*HOUBEN WORSTEN EINDHOVEN NLD</t>
  </si>
  <si>
    <t>BAKELS GENOT B.V. BAKEL NLD</t>
  </si>
  <si>
    <t>RESEND SAN FRANCISCO USA</t>
  </si>
  <si>
    <t>THUISBEZORGD.NL WD4CC4 UTRECHT NLD</t>
  </si>
  <si>
    <t>Fast-Food Restaurants</t>
  </si>
  <si>
    <t>NINTENDO CC1517778014 FRANKFURT AM DEU</t>
  </si>
  <si>
    <t>Q PARK KENNEDYPLEIN EINDHOVEN NLD</t>
  </si>
  <si>
    <t>GITHUB, INC. SAN FRANCISCO USA</t>
  </si>
  <si>
    <t>NINTENDO CC1515923310 FRANKFURT AM DEU</t>
  </si>
  <si>
    <t>SUPERULTRA, INC. AUSTIN USA</t>
  </si>
  <si>
    <t>NINTENDO CA1515336276 FRANKFURT AM DEU</t>
  </si>
  <si>
    <t>QG STATIC MICRO HENDERSON USA</t>
  </si>
  <si>
    <t>NINTENDO CC1514744586 FRANKFURT AM DEU</t>
  </si>
  <si>
    <t>CURSOR USAGE MID  NOV NEW YORK USA</t>
  </si>
  <si>
    <t>MICROSOFT*STORE MSBILL.INFO IRL</t>
  </si>
  <si>
    <t>SANG LEE ASIAN FOOD CO EINDHOVEN NLD</t>
  </si>
  <si>
    <t>WORKOS, INC. SAN FRANCISCO USA</t>
  </si>
  <si>
    <t>PRIME VIDEO *ZX92X0L54 LONDON GBR</t>
  </si>
  <si>
    <t>NINTENDO CA1509499427 FRANKFURT AM DEU</t>
  </si>
  <si>
    <t>EV CHARGE SESSION MAASTRICHT NLD</t>
  </si>
  <si>
    <t>   </t>
  </si>
  <si>
    <t>AD FREE FOR *ZR5LF7484 LONDON GBR</t>
  </si>
  <si>
    <t>CCV*KFC RIJSWIJK A13 RYSWYK ZH NLD</t>
  </si>
  <si>
    <t>NINTENDO CC1507834083 FRANKFURT AM DEU</t>
  </si>
  <si>
    <t>AMZNPRIMENL*ZL1MU42L4 LUXEMBOURG LUX</t>
  </si>
  <si>
    <t>ARE</t>
  </si>
  <si>
    <t>COPYMIND DIFC ARE</t>
  </si>
  <si>
    <t>AMAZING ORIENTAL EINDH EINDHOVEN NLD</t>
  </si>
  <si>
    <t>NINTENDO CA1505464967 FRANKFURT AM DEU</t>
  </si>
  <si>
    <t>NINTENDO CC1505465473 FRANKFURT AM DEU</t>
  </si>
  <si>
    <t>SP LAURENT MONTIER OAKVILLE CAN</t>
  </si>
  <si>
    <t>Clock, Jewelry, Watch</t>
  </si>
  <si>
    <t>DROPBOX*6935M8MXBY5K DB.TT/CCHELP IRL</t>
  </si>
  <si>
    <t>RHODOS DEURNE NLD</t>
  </si>
  <si>
    <t>NINTENDO CA1499936760 FRANKFURT AM DEU</t>
  </si>
  <si>
    <t>NINTENDO CC1499904326 FRANKFURT AM DEU</t>
  </si>
  <si>
    <t>NINTENDO CC1499943213 FRANKFURT AM DEU</t>
  </si>
  <si>
    <t>ALDI ROE065 BAKEL BAKEL NLD</t>
  </si>
  <si>
    <t>NINTENDO CC1497564432 FRANKFURT AM DEU</t>
  </si>
  <si>
    <t>NINTENDO CA1494770816 FRANKFURT AM DEU</t>
  </si>
  <si>
    <t>ENVERSED ENTERTAINMENT EINDHOVEN NLD</t>
  </si>
  <si>
    <t>Recreation Services</t>
  </si>
  <si>
    <t>PRIME VIDEO *WA1478F95 LONDON GBR</t>
  </si>
  <si>
    <t>AD FREE FOR *9B6OF2QX5 LONDON GBR</t>
  </si>
  <si>
    <t>NINTENDO CC1490366590 FRANKFURT AM DEU</t>
  </si>
  <si>
    <t>AMZNPRIMENL*1C7OH1NT5 LUXEMBOURG LUX</t>
  </si>
  <si>
    <t>NINTENDO CC1489124761 FRANKFURT AM DEU</t>
  </si>
  <si>
    <t>DARIUS LUKAS/ ACADEMY SINGAPORE GBR</t>
  </si>
  <si>
    <t>NINTENDO CA1487965509 FRANKFURT AM DEU</t>
  </si>
  <si>
    <t>JUMBO BAKEL AUERSCHOOT BAKEL NLD</t>
  </si>
  <si>
    <r>
      <t>APPLE.COM/BILL</t>
    </r>
    <r>
      <rPr>
        <sz val="10"/>
        <color rgb="FF000000"/>
        <rFont val="Helvetica Neue"/>
        <family val="2"/>
      </rPr>
      <t xml:space="preserve"> </t>
    </r>
    <r>
      <rPr>
        <u/>
        <sz val="10"/>
        <color rgb="FF000000"/>
        <rFont val="Helvetica Neue"/>
        <family val="2"/>
      </rPr>
      <t>ITUNES.COM</t>
    </r>
    <r>
      <rPr>
        <sz val="10"/>
        <color rgb="FF000000"/>
        <rFont val="Helvetica Neue"/>
        <family val="2"/>
      </rPr>
      <t xml:space="preserve"> IRL</t>
    </r>
  </si>
  <si>
    <t>TOVERLAND B.V. SEVENUM NLD</t>
  </si>
  <si>
    <t>Tourist Attractions</t>
  </si>
  <si>
    <t>NINTENDO CA1484469020 FRANKFURT AM DEU</t>
  </si>
  <si>
    <t>NINTENDO CC1484448451 FRANKFURT AM DEU</t>
  </si>
  <si>
    <t>GLOBAL TICKET AMSTERDAM NLD</t>
  </si>
  <si>
    <t>Theatrical Producers</t>
  </si>
  <si>
    <t>DROPBOX*92WSRF6SXS5N DB.TT/CCHELP IRL</t>
  </si>
  <si>
    <t>NINTENDO CC1480291385 FRANKFURT AM DEU</t>
  </si>
  <si>
    <t>NINTENDO CC1479674908 FRANKFURT AM DEU</t>
  </si>
  <si>
    <t>DRUKWERKDEAL.NL B.V. DEVENTER NLD</t>
  </si>
  <si>
    <t>Miscellaneous Publishing</t>
  </si>
  <si>
    <t>PRIME VIDEO *7J96H7175 PRIMEVIDEO.NL GBR</t>
  </si>
  <si>
    <t>NINTENDO CA1474712128 FRANKFURT AM DEU</t>
  </si>
  <si>
    <t>NINTENDO CA1474712397 FRANKFURT AM DEU</t>
  </si>
  <si>
    <t>AD FREE FOR *HD6IJ48E5 PRIMEVIDEO.NL GBR</t>
  </si>
  <si>
    <t>AMZNPRIMENL*GY51O0RN5 LUXEMBOURG LUX</t>
  </si>
  <si>
    <t>HP INSTANT INK NL WWW.HP.COM NLD</t>
  </si>
  <si>
    <t>VERCEL COVINA USA</t>
  </si>
  <si>
    <t>NINTENDO CC1471422722 FRANKFURT AM DEU</t>
  </si>
  <si>
    <t>NINTENDO CC1470147381 FRANKFURT AM DEU</t>
  </si>
  <si>
    <t>DINERTIJD VOF ASTEN NLD</t>
  </si>
  <si>
    <t>DROPBOX*XFTPK7DCNZL6 DB.TT/CCHELP IRL</t>
  </si>
  <si>
    <t>B377_PETSPLACE_BOERENB HELMOND NLD</t>
  </si>
  <si>
    <t>Pet Shops</t>
  </si>
  <si>
    <t>OPENROUTER, INC NEW YORK USA</t>
  </si>
  <si>
    <t>CURSOR USAGE  AUG NEW YORK USA</t>
  </si>
  <si>
    <t>NINTENDO CC1465390999 FRANKFURT AM DEU</t>
  </si>
  <si>
    <t>FRA</t>
  </si>
  <si>
    <t>TRESO CONTROLE AUTOMAT RENNES CDX FRA</t>
  </si>
  <si>
    <t>Intra-Goverment Purchases</t>
  </si>
  <si>
    <t>BAGEL AND JUICE - STRI WAALRE NLD</t>
  </si>
  <si>
    <t>URLBOX LTD LEEDS GBR</t>
  </si>
  <si>
    <t>GALL &amp; GALL 6782 HELMOND NLD</t>
  </si>
  <si>
    <t>Package Stores</t>
  </si>
  <si>
    <t>Credit Card Fixed Subscriptions</t>
  </si>
  <si>
    <t>Subscription</t>
  </si>
  <si>
    <t>Apple Services (Apps/iCloud/etc)</t>
  </si>
  <si>
    <t>Nintendo</t>
  </si>
  <si>
    <t>Cursor (AI IDE)</t>
  </si>
  <si>
    <t>Claude AI</t>
  </si>
  <si>
    <t>Z.AI</t>
  </si>
  <si>
    <t>Supabase</t>
  </si>
  <si>
    <t>Vercel</t>
  </si>
  <si>
    <t>Netlify</t>
  </si>
  <si>
    <t>DigitalOcean</t>
  </si>
  <si>
    <t>YNAB (Budgeting)</t>
  </si>
  <si>
    <t>ElevenLabs</t>
  </si>
  <si>
    <t>Gamma.app</t>
  </si>
  <si>
    <t>Musescore</t>
  </si>
  <si>
    <t>Setapp</t>
  </si>
  <si>
    <t>Notion</t>
  </si>
  <si>
    <t>Dropbox</t>
  </si>
  <si>
    <t>Microsoft</t>
  </si>
  <si>
    <t>HP Instant Ink</t>
  </si>
  <si>
    <t>Raycast</t>
  </si>
  <si>
    <t>Amazon Prime</t>
  </si>
  <si>
    <t>Prime Video</t>
  </si>
  <si>
    <t>GitHub</t>
  </si>
  <si>
    <t>1Password</t>
  </si>
  <si>
    <t>TOTAL SUBSCRIPTIONS</t>
  </si>
  <si>
    <t>Variable Spending (Monthly Avg)</t>
  </si>
  <si>
    <t>Groceries (Lidl, Jumbo, etc)</t>
  </si>
  <si>
    <t>Dining/Restaurants</t>
  </si>
  <si>
    <t>Parking</t>
  </si>
  <si>
    <t>EV Charging</t>
  </si>
  <si>
    <t>Date</t>
  </si>
  <si>
    <t>Interest Date</t>
  </si>
  <si>
    <t>Amount</t>
  </si>
  <si>
    <t>Account</t>
  </si>
  <si>
    <t>Counterparty</t>
  </si>
  <si>
    <t>Name</t>
  </si>
  <si>
    <t>Description</t>
  </si>
  <si>
    <t>50,00</t>
  </si>
  <si>
    <t>NL08BUNQ2038855919</t>
  </si>
  <si>
    <t>NL98BUNQ2039178279</t>
  </si>
  <si>
    <t>I.A. Roldan Leon &amp; M.E. Larios Cano CJ</t>
  </si>
  <si>
    <t>-30,20</t>
  </si>
  <si>
    <t>NAME-CHEAP.COM* QKAEAX</t>
  </si>
  <si>
    <t>NAME-CHEAP.COM* QKAEAX PHOENIX, US 35.00 USD, 1 USD = 0.86286 EUR</t>
  </si>
  <si>
    <t>-0,80</t>
  </si>
  <si>
    <t>NL33BUNQ2035603641</t>
  </si>
  <si>
    <t>-4,18</t>
  </si>
  <si>
    <t>1PASSWORD</t>
  </si>
  <si>
    <t>1PASSWORD TORONTO, CA 4.83 USD, 1 USD = 0.86542 EUR</t>
  </si>
  <si>
    <t>-0,82</t>
  </si>
  <si>
    <t>-1,95</t>
  </si>
  <si>
    <t>BUNKR Concepts B.V.</t>
  </si>
  <si>
    <t>BUNKR Concepts B.V. Eindhoven, NL</t>
  </si>
  <si>
    <t>-0,05</t>
  </si>
  <si>
    <t>-10,39</t>
  </si>
  <si>
    <t>Albert Heijn 1615</t>
  </si>
  <si>
    <t>Albert Heijn 1615 HELMOND, NL</t>
  </si>
  <si>
    <t>-0,61</t>
  </si>
  <si>
    <t>22,42</t>
  </si>
  <si>
    <t>-7,70</t>
  </si>
  <si>
    <t>URLBOX LTD</t>
  </si>
  <si>
    <t>URLBOX LTD LEEDS, GB 9.00 USD, 1 USD = 0.85556 EUR</t>
  </si>
  <si>
    <t>-0,30</t>
  </si>
  <si>
    <t>-9,99</t>
  </si>
  <si>
    <t>APPLE.COM/BILL</t>
  </si>
  <si>
    <t>APPLE.COM/BILL ITUNES.COM, IE</t>
  </si>
  <si>
    <t>-0,01</t>
  </si>
  <si>
    <t>-6,99</t>
  </si>
  <si>
    <t>15,00</t>
  </si>
  <si>
    <t>NL57BUNQ2050754221</t>
  </si>
  <si>
    <t>A.E. Roldan Larios</t>
  </si>
  <si>
    <t>-6,64</t>
  </si>
  <si>
    <t>DEEPL* SUB 199SZEUJMQU</t>
  </si>
  <si>
    <t>DEEPL* SUB 199SZEUJMQU K LN, DE</t>
  </si>
  <si>
    <t>-0,36</t>
  </si>
  <si>
    <t>150,00</t>
  </si>
  <si>
    <t>NL38BUNQ2041223537</t>
  </si>
  <si>
    <t>-34,99</t>
  </si>
  <si>
    <t>TOPDEALSTORES</t>
  </si>
  <si>
    <t>TOPDEALSTORES WAALRE, NL</t>
  </si>
  <si>
    <t>-4,15</t>
  </si>
  <si>
    <t>1PASSWORD TORONTO, CA 4.83 USD, 1 USD = 0.85921 EUR</t>
  </si>
  <si>
    <t>-0,85</t>
  </si>
  <si>
    <t>-16,00</t>
  </si>
  <si>
    <t>-1,00</t>
  </si>
  <si>
    <t>-49,98</t>
  </si>
  <si>
    <t>-0,02</t>
  </si>
  <si>
    <t>-16,33</t>
  </si>
  <si>
    <t>QG STATIC MICRO</t>
  </si>
  <si>
    <t>QG STATIC MICRO HENDERSON, US 19.00 USD, 1 USD = 0.85947 EUR</t>
  </si>
  <si>
    <t>-0,67</t>
  </si>
  <si>
    <t>-8,95</t>
  </si>
  <si>
    <t>Bakkerij Vedder BV</t>
  </si>
  <si>
    <t>Bakkerij Vedder BV BAKEL, NL</t>
  </si>
  <si>
    <t>-10,70</t>
  </si>
  <si>
    <t>Restaria d'n Belhamel</t>
  </si>
  <si>
    <t>Restaria d'n Belhamel BAKEL, NL</t>
  </si>
  <si>
    <t>APPLE.COM/BILL 0805540003, IE</t>
  </si>
  <si>
    <t>46,49</t>
  </si>
  <si>
    <t>NL66BUNQ2161466658</t>
  </si>
  <si>
    <t>L.P. Roldan Larios</t>
  </si>
  <si>
    <t>-28,99</t>
  </si>
  <si>
    <t>NL89BUNQ2025105584</t>
  </si>
  <si>
    <t>bunq BV</t>
  </si>
  <si>
    <t>invoice 32180935</t>
  </si>
  <si>
    <t>APPLE.COM/BILL CORK, IE</t>
  </si>
  <si>
    <t>-2,81</t>
  </si>
  <si>
    <t>EasyParkNLCOM</t>
  </si>
  <si>
    <t>EasyParkNLCOM easypark.nl, NL</t>
  </si>
  <si>
    <t>-0,19</t>
  </si>
  <si>
    <t>-5,15</t>
  </si>
  <si>
    <t>-4,21</t>
  </si>
  <si>
    <t>1PASSWORD TORONTO, CA 4.83 USD, 1 USD = 0.87164 EUR</t>
  </si>
  <si>
    <t>-0,79</t>
  </si>
  <si>
    <t>1.200,00</t>
  </si>
  <si>
    <t>NL46BUNQ2120678324</t>
  </si>
  <si>
    <t>Adyen Merchant Payout EUR</t>
  </si>
  <si>
    <t>iDEAL Top Up from NL04ABNA0121377849</t>
  </si>
  <si>
    <t>-500,00</t>
  </si>
  <si>
    <t>Israel</t>
  </si>
  <si>
    <t>-100,00</t>
  </si>
  <si>
    <t>NL67BUNQ2165082897</t>
  </si>
  <si>
    <t>-16,64</t>
  </si>
  <si>
    <t>QG STATIC MICRO HENDERSON, US 19.00 USD, 1 USD = 0.87579 EUR</t>
  </si>
  <si>
    <t>-4,37</t>
  </si>
  <si>
    <t>-0,63</t>
  </si>
  <si>
    <t>-70,97</t>
  </si>
  <si>
    <t>Thuisbezorgd.nl XFVMMH</t>
  </si>
  <si>
    <t>Thuisbezorgd.nl XFVMMH Utrecht, NL</t>
  </si>
  <si>
    <t>-0,03</t>
  </si>
  <si>
    <t>-13,72</t>
  </si>
  <si>
    <t>ALDI ROE065 BAKEL</t>
  </si>
  <si>
    <t>ALDI ROE065 BAKEL BAKEL, NL</t>
  </si>
  <si>
    <t>-0,28</t>
  </si>
  <si>
    <t>-11,00</t>
  </si>
  <si>
    <t>Zettle_*Maasakkers-Hov</t>
  </si>
  <si>
    <t>Zettle_*Maasakkers-Hov Eindhoven, NL</t>
  </si>
  <si>
    <t>-15,75</t>
  </si>
  <si>
    <t>Zettle_*Viet Yam</t>
  </si>
  <si>
    <t>Zettle_*Viet Yam Eindhoven, NL</t>
  </si>
  <si>
    <t>-0,25</t>
  </si>
  <si>
    <t>-10,00</t>
  </si>
  <si>
    <t>Q Park Mathildelaan</t>
  </si>
  <si>
    <t>Q Park Mathildelaan EINDHOVEN, NL</t>
  </si>
  <si>
    <t>-47,98</t>
  </si>
  <si>
    <t>Thuisbezorgd.nl JJ6MYP</t>
  </si>
  <si>
    <t>Thuisbezorgd.nl JJ6MYP Utrecht, NL</t>
  </si>
  <si>
    <t>-62,15</t>
  </si>
  <si>
    <t>Thuisbezorgd.nl 7H34G8</t>
  </si>
  <si>
    <t>Thuisbezorgd.nl 7H34G8 Utrecht, NL</t>
  </si>
  <si>
    <t>-130,63</t>
  </si>
  <si>
    <t>-0,37</t>
  </si>
  <si>
    <t>-16,95</t>
  </si>
  <si>
    <t>Kruidvat 7257</t>
  </si>
  <si>
    <t>Kruidvat 7257 BAKEL, NL</t>
  </si>
  <si>
    <t>-8,48</t>
  </si>
  <si>
    <t>-0,52</t>
  </si>
  <si>
    <t>-14,95</t>
  </si>
  <si>
    <t>Van Piere Eindhoven BV</t>
  </si>
  <si>
    <t>Van Piere Eindhoven BV EINDHOVEN, NL</t>
  </si>
  <si>
    <t>-16,25</t>
  </si>
  <si>
    <t>Q-Park Centrum Admiran</t>
  </si>
  <si>
    <t>Q-Park Centrum Admiran EINDHOVEN, NL</t>
  </si>
  <si>
    <t>-0,75</t>
  </si>
  <si>
    <t>-0,76</t>
  </si>
  <si>
    <t>-0,24</t>
  </si>
  <si>
    <t>-11,32</t>
  </si>
  <si>
    <t>-0,68</t>
  </si>
  <si>
    <t>-0,47</t>
  </si>
  <si>
    <t>-0,53</t>
  </si>
  <si>
    <t>-4,19</t>
  </si>
  <si>
    <t>1PASSWORD TORONTO, CA 4.83 USD, 1 USD = 0.86749 EUR</t>
  </si>
  <si>
    <t>-0,81</t>
  </si>
  <si>
    <t>500,00</t>
  </si>
  <si>
    <t>Top Up by Apple Pay from Apple Pay Top Up</t>
  </si>
  <si>
    <t>-300,00</t>
  </si>
  <si>
    <t>12,00</t>
  </si>
  <si>
    <t>28,09</t>
  </si>
  <si>
    <t>0,01</t>
  </si>
  <si>
    <t>NL13BUNQ2094122549</t>
  </si>
  <si>
    <t>bunq</t>
  </si>
  <si>
    <t>bunq Payday 2025-12-12 EUR</t>
  </si>
  <si>
    <t>-4,95</t>
  </si>
  <si>
    <t>Coffeelovers Van Piere</t>
  </si>
  <si>
    <t>Coffeelovers Van Piere MAASTRICHT, NL</t>
  </si>
  <si>
    <t>-27,49</t>
  </si>
  <si>
    <t>My Jewellery MY025</t>
  </si>
  <si>
    <t>My Jewellery MY025 Eindhoven, NL</t>
  </si>
  <si>
    <t>-0,51</t>
  </si>
  <si>
    <t>I.A. Roldan Leon</t>
  </si>
  <si>
    <t>-18,95</t>
  </si>
  <si>
    <t>Sissy-Boy</t>
  </si>
  <si>
    <t>Sissy-Boy Eindhoven, NL</t>
  </si>
  <si>
    <t>-23,40</t>
  </si>
  <si>
    <t>-0,60</t>
  </si>
  <si>
    <t>bunq Payday 2025-12-19 EUR</t>
  </si>
  <si>
    <t>-15,00</t>
  </si>
  <si>
    <t>bunq Payday 2025-12-26 EUR</t>
  </si>
  <si>
    <t>-50,00</t>
  </si>
  <si>
    <t>-13,52</t>
  </si>
  <si>
    <t>-24,00</t>
  </si>
  <si>
    <t>Al Ballon</t>
  </si>
  <si>
    <t>Al Ballon EINDHOVEN, NL</t>
  </si>
  <si>
    <t>-14,00</t>
  </si>
  <si>
    <t>LS Il primo ijscafe</t>
  </si>
  <si>
    <t>LS Il primo ijscafe Helmond, NL</t>
  </si>
  <si>
    <t>-52,09</t>
  </si>
  <si>
    <t>Jumbo Bakel Auersch</t>
  </si>
  <si>
    <t>Jumbo Bakel Auersch BAKEL, NL</t>
  </si>
  <si>
    <t>-0,91</t>
  </si>
  <si>
    <t>-7,80</t>
  </si>
  <si>
    <t>Bakels Genot B.V.</t>
  </si>
  <si>
    <t>Bakels Genot B.V. Bakel, NL</t>
  </si>
  <si>
    <t>-0,20</t>
  </si>
  <si>
    <t>-3,90</t>
  </si>
  <si>
    <t>-0,10</t>
  </si>
  <si>
    <t>Amélie</t>
  </si>
  <si>
    <t>Philippe</t>
  </si>
  <si>
    <t>-2,00</t>
  </si>
  <si>
    <t>NYX*GebrRegter</t>
  </si>
  <si>
    <t>NYX*GebrRegter Langenboom, NL</t>
  </si>
  <si>
    <t>-10,45</t>
  </si>
  <si>
    <t>NL04ADYB2017400157</t>
  </si>
  <si>
    <t>Wehkamp</t>
  </si>
  <si>
    <t>PT5Q3VRH54B528Q92U74B 7180386017307256 wehkamp: bc6e8152</t>
  </si>
  <si>
    <t>-65,00</t>
  </si>
  <si>
    <t>CCV*Lunchcafe Mooi Wee</t>
  </si>
  <si>
    <t>CCV*Lunchcafe Mooi Wee BAKEL, NL</t>
  </si>
  <si>
    <t>-20,75</t>
  </si>
  <si>
    <t>Lunchcafe Mooi Weer</t>
  </si>
  <si>
    <t>Lunchcafe Mooi Weer BAKEL, NL</t>
  </si>
  <si>
    <t>-7,00</t>
  </si>
  <si>
    <t>-10,59</t>
  </si>
  <si>
    <t>NL51DEUT0265262461</t>
  </si>
  <si>
    <t>Returnista International via Stichting Mollie Payments</t>
  </si>
  <si>
    <t>a81b7c50830878a30b50f7ae9880bfb0 8152526929304721 Steve Madden return via Returnista Returnista International</t>
  </si>
  <si>
    <t>-15,30</t>
  </si>
  <si>
    <t>-0,70</t>
  </si>
  <si>
    <t>-12,50</t>
  </si>
  <si>
    <t>KERMISUITJE 507</t>
  </si>
  <si>
    <t>KERMISUITJE 507 LANGENBOOM, NL</t>
  </si>
  <si>
    <t>-0,50</t>
  </si>
  <si>
    <t>24,00</t>
  </si>
  <si>
    <t>1.000,00</t>
  </si>
  <si>
    <t>-120,80</t>
  </si>
  <si>
    <t>PRIMARK EINDHOVEN</t>
  </si>
  <si>
    <t>PRIMARK EINDHOVEN EINDHOVEN, NL</t>
  </si>
  <si>
    <t>-28,15</t>
  </si>
  <si>
    <t>NL27INGB0000026500</t>
  </si>
  <si>
    <t>bol.com</t>
  </si>
  <si>
    <t>P1592668391 7051336616747240 bol.com BUN1801286499232</t>
  </si>
  <si>
    <t>-40,17</t>
  </si>
  <si>
    <t>NL35RABO0117713678</t>
  </si>
  <si>
    <t>P.K. Benelux B.V.</t>
  </si>
  <si>
    <t>3105803556X9d8c6 7370204516809067 Order 146183999</t>
  </si>
  <si>
    <t>-74,84</t>
  </si>
  <si>
    <t>NL58CITI2032329913</t>
  </si>
  <si>
    <t>Amazon Payments Europe SCA</t>
  </si>
  <si>
    <t>OEXIKCN 0220806628805212 a404-6402536-2025948 Amazon</t>
  </si>
  <si>
    <t>-46,98</t>
  </si>
  <si>
    <t>-14,10</t>
  </si>
  <si>
    <t>-0,90</t>
  </si>
  <si>
    <t>invoice 31059208</t>
  </si>
  <si>
    <t>-38,18</t>
  </si>
  <si>
    <t>PopSockets Europe B.V.</t>
  </si>
  <si>
    <t>MVCZ9SX6PQMXNKF62N202 7180355125892710 PSE0370762</t>
  </si>
  <si>
    <t>-175,50</t>
  </si>
  <si>
    <t>NH COLLECTION EINDHOVE</t>
  </si>
  <si>
    <t>NH COLLECTION EINDHOVE EINDHOVEN, NL</t>
  </si>
  <si>
    <t>-32,50</t>
  </si>
  <si>
    <t>TSB Returns Ltd</t>
  </si>
  <si>
    <t>TSB Returns Ltd Telford, GB</t>
  </si>
  <si>
    <t>-18,35</t>
  </si>
  <si>
    <t>-0,65</t>
  </si>
  <si>
    <t>-48,37</t>
  </si>
  <si>
    <t>-93,52</t>
  </si>
  <si>
    <t>BCK*SoLow Eindhoven</t>
  </si>
  <si>
    <t>BCK*SoLow Eindhoven EINDHOVEN, NL</t>
  </si>
  <si>
    <t>-0,48</t>
  </si>
  <si>
    <t>-16,80</t>
  </si>
  <si>
    <t>Q PARK HEUVEL</t>
  </si>
  <si>
    <t>Q PARK HEUVEL EINDHOVEN, NL</t>
  </si>
  <si>
    <t>-14,75</t>
  </si>
  <si>
    <t>Zettle_*Frituur Van Go</t>
  </si>
  <si>
    <t>Zettle_*Frituur Van Go Amersfoort, NL</t>
  </si>
  <si>
    <t>227,00</t>
  </si>
  <si>
    <t>-69,52</t>
  </si>
  <si>
    <t>Sligro ZB 5036</t>
  </si>
  <si>
    <t>Sligro ZB 5036 HELMOND, NL</t>
  </si>
  <si>
    <t>04cefd01afb0ce57246bb5949eb5d5e7 8152395731050157 Steve Madden return via Returnista Returnista International</t>
  </si>
  <si>
    <t>-12,40</t>
  </si>
  <si>
    <t>27,50</t>
  </si>
  <si>
    <t>6,50</t>
  </si>
  <si>
    <t>-84,99</t>
  </si>
  <si>
    <t>KLARNA BANK AB via Stichting Mollie Payments</t>
  </si>
  <si>
    <t>ce3865b13de1764276c1eb927694c5cd 8152696313075195 Klarna klarna.com KLARNA BANK AB</t>
  </si>
  <si>
    <t>-58,51</t>
  </si>
  <si>
    <t>-0,49</t>
  </si>
  <si>
    <t>NL07RABO0399491228</t>
  </si>
  <si>
    <t>S.R.W.J. Hermans via Rabo Betaalverzoek</t>
  </si>
  <si>
    <t>NL21RABO0120807939 0022515725046458 S.R.W.J. Hermans:Pompoenen: S.R.W.J. Hermans</t>
  </si>
  <si>
    <t>NL21RABO0120807939 0022136337197814 S.R.W.J. Hermans:Pompoenen: S.R.W.J. Hermans</t>
  </si>
  <si>
    <t>-4,00</t>
  </si>
  <si>
    <t>Toverland B.V.</t>
  </si>
  <si>
    <t>Toverland B.V. SEVENUM, NL</t>
  </si>
  <si>
    <t>Toverland BV</t>
  </si>
  <si>
    <t>Toverland BV SEVENUM, NL</t>
  </si>
  <si>
    <t>-30,00</t>
  </si>
  <si>
    <t>-14,99</t>
  </si>
  <si>
    <t>BOLCOM BV</t>
  </si>
  <si>
    <t>Doorlopend abonnement 1 Jaar Select Belgie van bol.com - periode van 29-10-2025 tot 29-10-2026</t>
  </si>
  <si>
    <t>-13,32</t>
  </si>
  <si>
    <t>SE8797800000097817083608</t>
  </si>
  <si>
    <t>Klarna Bank AB</t>
  </si>
  <si>
    <t>Purchase at PopSockets</t>
  </si>
  <si>
    <t>-48,99</t>
  </si>
  <si>
    <t>Douglas</t>
  </si>
  <si>
    <t>BTMVW2KJ82V7CBZ334NVV 7180675688616168 DGLNL0025042541</t>
  </si>
  <si>
    <t>-19,03</t>
  </si>
  <si>
    <t>100,00</t>
  </si>
  <si>
    <t>-95,00</t>
  </si>
  <si>
    <t>Bijenkorf</t>
  </si>
  <si>
    <t>Bijenkorf Eindhoven, NL</t>
  </si>
  <si>
    <t>-17,25</t>
  </si>
  <si>
    <t>Butlaroo Services B.V.</t>
  </si>
  <si>
    <t>G5SRF78B3F8DKSX32KIDS 7180274500388018 Bagel and Juice - Strijp-S</t>
  </si>
  <si>
    <t>-53,05</t>
  </si>
  <si>
    <t>MZS8P6JB4WCRHDH62KIDS 7180306291298537 Bagel and Juice - Strijp-S</t>
  </si>
  <si>
    <t>-0,95</t>
  </si>
  <si>
    <t>-42,80</t>
  </si>
  <si>
    <t>-58,98</t>
  </si>
  <si>
    <t>0a767d6c5c2b9d0984f0047c5c5463ee 8152366303166249 Klarna klarna.com KLARNA BANK AB</t>
  </si>
  <si>
    <t>-20,15</t>
  </si>
  <si>
    <t>200,00</t>
  </si>
  <si>
    <t>iDEAL Top Up from NL63ABNA0465631533</t>
  </si>
  <si>
    <t>-58,97</t>
  </si>
  <si>
    <t>Purchase at H&amp;M Online NL</t>
  </si>
  <si>
    <t>-2,99</t>
  </si>
  <si>
    <t>NL59ABNA0626226163</t>
  </si>
  <si>
    <t>Klarna AB via Worldpay B.V.</t>
  </si>
  <si>
    <t>35442033529 7030416288370369 Klarna Klarna AB</t>
  </si>
  <si>
    <t>-54,98</t>
  </si>
  <si>
    <t>Lowland Avenue B.V. via Stichting Mollie Payments</t>
  </si>
  <si>
    <t>dc6c2b17bdcaccd3f8c92070b9f2589f 8152006582007219 rEZvTRVGzuSLxC0x2OkF7h8lu Lowland Avenue B.V.</t>
  </si>
  <si>
    <t>-104,59</t>
  </si>
  <si>
    <t>Thuisbezorgd.nl M8QJBC</t>
  </si>
  <si>
    <t>Thuisbezorgd.nl M8QJBC Utrecht, NL</t>
  </si>
  <si>
    <t>-0,41</t>
  </si>
  <si>
    <t>NL81BUNQ2059684773</t>
  </si>
  <si>
    <t>invoice 33206638</t>
  </si>
  <si>
    <t>QGFGBVB284B528Q92U74B 7180885097060919 wehkamp: fe039ce9</t>
  </si>
  <si>
    <t>300,00</t>
  </si>
  <si>
    <t>-7,50</t>
  </si>
  <si>
    <t>Purchase at nl.loungeunderwear.com</t>
  </si>
  <si>
    <t>-13,33</t>
  </si>
  <si>
    <t>-51,86</t>
  </si>
  <si>
    <t>8f23bd438582bd8ee7f82cc3ae60bc7a 8152685702748565 unibling klarna.com KLARNA BANK AB</t>
  </si>
  <si>
    <t>bunq Payday 2025-12-08 EUR</t>
  </si>
  <si>
    <t>-37,83</t>
  </si>
  <si>
    <t>-66,60</t>
  </si>
  <si>
    <t>NL29DEUT0319800040</t>
  </si>
  <si>
    <t>Zalando Payments GmbH</t>
  </si>
  <si>
    <t>10203191557404 8152346593374528 10203191557404</t>
  </si>
  <si>
    <t>10203189286715 8152316008226298 10203189286715</t>
  </si>
  <si>
    <t>-3,06</t>
  </si>
  <si>
    <t>-0,94</t>
  </si>
  <si>
    <t>bunq Payday 2025-12-15 EUR</t>
  </si>
  <si>
    <t>bunq Payday 2025-12-22 EUR</t>
  </si>
  <si>
    <t>-89,28</t>
  </si>
  <si>
    <t>Purchase at stevemadden.eu</t>
  </si>
  <si>
    <t>-0,72</t>
  </si>
  <si>
    <t>65,00</t>
  </si>
  <si>
    <t>invoice 34252231</t>
  </si>
  <si>
    <t>37,47</t>
  </si>
  <si>
    <t>-44,00</t>
  </si>
  <si>
    <t>bunq Payday 2025-12-29 EUR</t>
  </si>
  <si>
    <t>69,00</t>
  </si>
  <si>
    <t>-23,98</t>
  </si>
  <si>
    <t>B377_PetsPlace_Boerenb</t>
  </si>
  <si>
    <t>B377_PetsPlace_Boerenb Helmond, NL</t>
  </si>
  <si>
    <t>-31,62</t>
  </si>
  <si>
    <t>-0,38</t>
  </si>
  <si>
    <t>-90,76</t>
  </si>
  <si>
    <t>EDEKA Brueggemeier</t>
  </si>
  <si>
    <t>EDEKA Brueggemeier Kevelaer, DE</t>
  </si>
  <si>
    <t>-63,86</t>
  </si>
  <si>
    <t>-0,14</t>
  </si>
  <si>
    <t>-44,76</t>
  </si>
  <si>
    <t>10203192079719 8152885080845406 10203192079719</t>
  </si>
  <si>
    <t>-47,88</t>
  </si>
  <si>
    <t>P1638975059 7051266595694821 bol.com BUN1801309959907</t>
  </si>
  <si>
    <t>-47,00</t>
  </si>
  <si>
    <t>-49,83</t>
  </si>
  <si>
    <t>-0,17</t>
  </si>
  <si>
    <t>3.295,70</t>
  </si>
  <si>
    <t>HILTON BARCELONA DIAGO</t>
  </si>
  <si>
    <t>Refund: HILTON BARCELONA DIAGO BARCELONA, ES</t>
  </si>
  <si>
    <t>-75,42</t>
  </si>
  <si>
    <t>Jumbo Bakel Auerschoot</t>
  </si>
  <si>
    <t>Jumbo Bakel Auerschoot Bakel, NL</t>
  </si>
  <si>
    <t>-0,58</t>
  </si>
  <si>
    <t>-473,43</t>
  </si>
  <si>
    <t>IKEA EINDHOVEN EXPRESS</t>
  </si>
  <si>
    <t>IKEA EINDHOVEN EXPRESS SON, NL</t>
  </si>
  <si>
    <t>-0,57</t>
  </si>
  <si>
    <t>-26,18</t>
  </si>
  <si>
    <t>Kaartje2go NL verkoop via Stichting Mollie Payments</t>
  </si>
  <si>
    <t>33fbf6238b00c291aebad9d0fc2b386a 8152434511083264 Order 48154259 kaartje2go.nl Kaartje2go NL verkoop</t>
  </si>
  <si>
    <t>-1.000,00</t>
  </si>
  <si>
    <t>-34,98</t>
  </si>
  <si>
    <t>PopSockets Europe B.V. Breda, NL</t>
  </si>
  <si>
    <t>-150,00</t>
  </si>
  <si>
    <t>-150,36</t>
  </si>
  <si>
    <t>-49,80</t>
  </si>
  <si>
    <t>-92,98</t>
  </si>
  <si>
    <t>-200,16</t>
  </si>
  <si>
    <t>-74,92</t>
  </si>
  <si>
    <t>SANG LEE SUPERSTORE</t>
  </si>
  <si>
    <t>SANG LEE SUPERSTORE Eindhoven, NL</t>
  </si>
  <si>
    <t>-0,08</t>
  </si>
  <si>
    <t>-12,00</t>
  </si>
  <si>
    <t>Sang Lee Asian Food Co</t>
  </si>
  <si>
    <t>Sang Lee Asian Food Co Eindhoven, NL</t>
  </si>
  <si>
    <t>-124,98</t>
  </si>
  <si>
    <t>4777d026087a0a07d1330a63586ecb11 8152035113344547 Klarna klarna.com KLARNA BANK AB</t>
  </si>
  <si>
    <t>-104,75</t>
  </si>
  <si>
    <t>Het Boerenhuis</t>
  </si>
  <si>
    <t>Het Boerenhuis DEURNE, NL</t>
  </si>
  <si>
    <t>-31,50</t>
  </si>
  <si>
    <t>-53,90</t>
  </si>
  <si>
    <t>Zara Rechtestraat</t>
  </si>
  <si>
    <t>Zara Rechtestraat EINDHOVEN, NL</t>
  </si>
  <si>
    <t>-117,40</t>
  </si>
  <si>
    <t>Tensai Ramen Eindhoven</t>
  </si>
  <si>
    <t>Tensai Ramen Eindhoven Eindhoven, NL</t>
  </si>
  <si>
    <t>-42,58</t>
  </si>
  <si>
    <t>ARTPASTRY.COM</t>
  </si>
  <si>
    <t>ARTPASTRY.COM EINDHOVEN, NL</t>
  </si>
  <si>
    <t>-0,42</t>
  </si>
  <si>
    <t>-70,10</t>
  </si>
  <si>
    <t>-89,80</t>
  </si>
  <si>
    <t>C&amp;M*Pizza Bombari</t>
  </si>
  <si>
    <t>C&amp;M*Pizza Bombari Amersfoort, NL</t>
  </si>
  <si>
    <t>-25,96</t>
  </si>
  <si>
    <t>ef9b370c08136d1f642b93fbfbc08d8f 8152216625177699 Klarna klarna.com KLARNA BANK AB</t>
  </si>
  <si>
    <t>-12,45</t>
  </si>
  <si>
    <t>28ef279d366ddbd1b9f0fdba20150ed2 8152856019207375 Klarna klarna.com KLARNA BANK AB</t>
  </si>
  <si>
    <t>-227,00</t>
  </si>
  <si>
    <t>2.000,00</t>
  </si>
  <si>
    <t>-144,00</t>
  </si>
  <si>
    <t>TRESO CONTROLE AUTOMAT</t>
  </si>
  <si>
    <t>TRESO CONTROLE AUTOMAT RENNES CDX, FR</t>
  </si>
  <si>
    <t>-45,50</t>
  </si>
  <si>
    <t>A BARRAQUE DE FRAITURE</t>
  </si>
  <si>
    <t>A BARRAQUE DE FRAITURE VIELSALM, BE</t>
  </si>
  <si>
    <t>-2,90</t>
  </si>
  <si>
    <t>RESTO BARAQUE FRAITURE</t>
  </si>
  <si>
    <t>RESTO BARAQUE FRAITURE VIELSALM, BE</t>
  </si>
  <si>
    <t>-1.000,56</t>
  </si>
  <si>
    <t>NOVOTEL KIRCHBERG FO</t>
  </si>
  <si>
    <t>NOVOTEL KIRCHBERG FO LUXEMBOURG, LU</t>
  </si>
  <si>
    <t>-0,44</t>
  </si>
  <si>
    <t>44,00</t>
  </si>
  <si>
    <t>-0,99</t>
  </si>
  <si>
    <t>Nintendo CC1533982742</t>
  </si>
  <si>
    <t>Nintendo CC1533982742 Frankfurt am, DE</t>
  </si>
  <si>
    <t>-268,25</t>
  </si>
  <si>
    <t>Auchan Luxembourg</t>
  </si>
  <si>
    <t>Auchan Luxembourg Luxembourg, LU</t>
  </si>
  <si>
    <t>-105,60</t>
  </si>
  <si>
    <t>Rest Apulia Antichi Sa</t>
  </si>
  <si>
    <t>Rest Apulia Antichi Sa Luxembourg, LU</t>
  </si>
  <si>
    <t>-0,40</t>
  </si>
  <si>
    <t>-103,05</t>
  </si>
  <si>
    <t>SEPHORA 0160</t>
  </si>
  <si>
    <t>SEPHORA 0160 Luxembourg, LU</t>
  </si>
  <si>
    <t>-8,00</t>
  </si>
  <si>
    <t>Novotel Kircheberg Res</t>
  </si>
  <si>
    <t>Novotel Kircheberg Res LUXEMBOURG, LU</t>
  </si>
  <si>
    <t>-32,00</t>
  </si>
  <si>
    <t>SumUp  *Buser Freizeit</t>
  </si>
  <si>
    <t>SumUp  *Buser Freizeit Ettelbruck, LU</t>
  </si>
  <si>
    <t>ROCKNROLL</t>
  </si>
  <si>
    <t>ROCKNROLL BERLARE, BE</t>
  </si>
  <si>
    <t>SumUp  *POURRIER ET AS</t>
  </si>
  <si>
    <t>SumUp  *POURRIER ET AS COMPIEGNE, FR</t>
  </si>
  <si>
    <t>-90,00</t>
  </si>
  <si>
    <t>MUSIC AND GAMES</t>
  </si>
  <si>
    <t>MUSIC AND GAMES LES SALELLES, FR</t>
  </si>
  <si>
    <t>GRILL BAR ROND</t>
  </si>
  <si>
    <t>GRILL BAR ROND FINGIG, LU</t>
  </si>
  <si>
    <t>-6,00</t>
  </si>
  <si>
    <t>CONFISERIE HARY</t>
  </si>
  <si>
    <t>CONFISERIE HARY ESCHDORF, LU</t>
  </si>
  <si>
    <t>STEVE CLEMENT</t>
  </si>
  <si>
    <t>STEVE CLEMENT Luxembourg, LU</t>
  </si>
  <si>
    <t>DOTREMONT EVENTS</t>
  </si>
  <si>
    <t>DOTREMONT EVENTS EISDEN, BE</t>
  </si>
  <si>
    <t>THE FANTASTICAL</t>
  </si>
  <si>
    <t>THE FANTASTICAL PARIS, FR</t>
  </si>
  <si>
    <t>Parking Guillaume</t>
  </si>
  <si>
    <t>Parking Guillaume Luxembourg, LU</t>
  </si>
  <si>
    <t>ECHTERNACH VOIRIE</t>
  </si>
  <si>
    <t>ECHTERNACH VOIRIE LUXEMBOURG, LU</t>
  </si>
  <si>
    <t>VB Trier Eifel eG</t>
  </si>
  <si>
    <t>VB Trier Eifel eG TR-Stockpl, DE</t>
  </si>
  <si>
    <t>-5,00</t>
  </si>
  <si>
    <t>Tiefgarage Plaza Carre</t>
  </si>
  <si>
    <t>Tiefgarage Plaza Carre Trier, DE</t>
  </si>
  <si>
    <t>-130,76</t>
  </si>
  <si>
    <t>KAUFLAND TRIER 6040</t>
  </si>
  <si>
    <t>KAUFLAND TRIER 6040 TRIER, DE</t>
  </si>
  <si>
    <t>-5,46</t>
  </si>
  <si>
    <t>A.Lohner GmbH &amp; Co. KG</t>
  </si>
  <si>
    <t>A.Lohner GmbH &amp; Co. KG Trier, DE</t>
  </si>
  <si>
    <t>-0,54</t>
  </si>
  <si>
    <t>-19,00</t>
  </si>
  <si>
    <t>NIKLEESCHENSMAART</t>
  </si>
  <si>
    <t>NIKLEESCHENSMAART ECHTERNACH, LU</t>
  </si>
  <si>
    <t>PONDEROSA</t>
  </si>
  <si>
    <t>PONDEROSA LUXEMBOURG, LU</t>
  </si>
  <si>
    <t>-53,50</t>
  </si>
  <si>
    <t>-13,20</t>
  </si>
  <si>
    <t>Burger_King_Place_dAr</t>
  </si>
  <si>
    <t>Burger_King_Place_dAr Luxembourg, LU</t>
  </si>
  <si>
    <t>-3,50</t>
  </si>
  <si>
    <t>250,00</t>
  </si>
  <si>
    <t>1.000,56</t>
  </si>
  <si>
    <t>Refund: NOVOTEL KIRCHBERG FO LUXEMBOURG, LU</t>
  </si>
  <si>
    <t>-884,56</t>
  </si>
  <si>
    <t>-69,00</t>
  </si>
  <si>
    <t>3,00</t>
  </si>
  <si>
    <t>5,00</t>
  </si>
  <si>
    <t>0,80</t>
  </si>
  <si>
    <t>0,82</t>
  </si>
  <si>
    <t>0,05</t>
  </si>
  <si>
    <t>0,61</t>
  </si>
  <si>
    <t>1,00</t>
  </si>
  <si>
    <t>0,91</t>
  </si>
  <si>
    <t>0,20</t>
  </si>
  <si>
    <t>0,10</t>
  </si>
  <si>
    <t>0,25</t>
  </si>
  <si>
    <t>0,70</t>
  </si>
  <si>
    <t>0,50</t>
  </si>
  <si>
    <t>-22,42</t>
  </si>
  <si>
    <t>0,30</t>
  </si>
  <si>
    <t>0,58</t>
  </si>
  <si>
    <t>0,57</t>
  </si>
  <si>
    <t>0,02</t>
  </si>
  <si>
    <t>0,63</t>
  </si>
  <si>
    <t>0,90</t>
  </si>
  <si>
    <t>0,36</t>
  </si>
  <si>
    <t>0,85</t>
  </si>
  <si>
    <t>0,67</t>
  </si>
  <si>
    <t>0,08</t>
  </si>
  <si>
    <t>0,65</t>
  </si>
  <si>
    <t>0,48</t>
  </si>
  <si>
    <t>0,60</t>
  </si>
  <si>
    <t>0,42</t>
  </si>
  <si>
    <t>0,49</t>
  </si>
  <si>
    <t>0,19</t>
  </si>
  <si>
    <t>0,79</t>
  </si>
  <si>
    <t>0,03</t>
  </si>
  <si>
    <t>0,28</t>
  </si>
  <si>
    <t>0,37</t>
  </si>
  <si>
    <t>0,52</t>
  </si>
  <si>
    <t>0,75</t>
  </si>
  <si>
    <t>0,95</t>
  </si>
  <si>
    <t>0,24</t>
  </si>
  <si>
    <t>0,41</t>
  </si>
  <si>
    <t>0,68</t>
  </si>
  <si>
    <t>0,53</t>
  </si>
  <si>
    <t>0,81</t>
  </si>
  <si>
    <t>0,94</t>
  </si>
  <si>
    <t>0,51</t>
  </si>
  <si>
    <t>0,72</t>
  </si>
  <si>
    <t>-37,47</t>
  </si>
  <si>
    <t>0,44</t>
  </si>
  <si>
    <t>0,40</t>
  </si>
  <si>
    <t>0,54</t>
  </si>
  <si>
    <t>0,38</t>
  </si>
  <si>
    <t>0,14</t>
  </si>
  <si>
    <t>0,17</t>
  </si>
  <si>
    <t>Bunq Account Analysis</t>
  </si>
  <si>
    <t>Note: Excludes inter-account transfers and round-up savings</t>
  </si>
  <si>
    <t>Apple Services</t>
  </si>
  <si>
    <t>QG Static</t>
  </si>
  <si>
    <t>Namecheap</t>
  </si>
  <si>
    <t>DeepL</t>
  </si>
  <si>
    <t>Bol.com Select</t>
  </si>
  <si>
    <t>URLBox</t>
  </si>
  <si>
    <t>bunq Premium</t>
  </si>
  <si>
    <t>Kids Allowance</t>
  </si>
  <si>
    <t>TOTAL KIDS</t>
  </si>
  <si>
    <t>Travel/Hotels</t>
  </si>
  <si>
    <t>Shopping (Klarna, Zara, etc)</t>
  </si>
  <si>
    <t>Groceries</t>
  </si>
  <si>
    <t>Dining</t>
  </si>
  <si>
    <t>Total External Spending</t>
  </si>
  <si>
    <t>Note: Travel spending is high due to Luxembourg trip</t>
  </si>
  <si>
    <t>in Dec 2025 (~€1,900 for Novotel)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</si>
</sst>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€#,##0.00"/>
    <numFmt numFmtId="165" formatCode="0.0%"/>
  </numFmts>
  <fonts count="15" x14ac:knownFonts="1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sz val="14"/>
      <name val="Arial"/>
      <family val="2"/>
    </font>
    <font>
      <i/>
      <sz val="10"/>
      <color rgb="FF666666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u/>
      <sz val="10"/>
      <color rgb="FF000000"/>
      <name val="Helvetica Neue"/>
      <family val="2"/>
    </font>
    <font>
      <sz val="12"/>
      <name val="Helvetica"/>
      <family val="2"/>
    </font>
    <font>
      <b/>
      <sz val="12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2" fontId="3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left"/>
    </xf>
    <xf numFmtId="2" fontId="0" fillId="0" borderId="0" xfId="0" applyNumberFormat="1" applyAlignment="1">
      <alignment horizontal="left"/>
    </xf>
    <xf numFmtId="0" fontId="7" fillId="0" borderId="0" xfId="0" applyFont="1"/>
    <xf numFmtId="0" fontId="8" fillId="0" borderId="0" xfId="0" applyFont="1"/>
    <xf numFmtId="0" fontId="9" fillId="2" borderId="0" xfId="0" applyFont="1" applyFill="1"/>
    <xf numFmtId="0" fontId="9" fillId="2" borderId="0" xfId="0" applyFont="1" applyFill="1" applyAlignment="1">
      <alignment horizontal="right"/>
    </xf>
    <xf numFmtId="0" fontId="0" fillId="3" borderId="0" xfId="0" applyFill="1"/>
    <xf numFmtId="164" fontId="0" fillId="0" borderId="0" xfId="0" applyNumberFormat="1" applyAlignment="1">
      <alignment horizontal="right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164" fontId="9" fillId="2" borderId="0" xfId="0" applyNumberFormat="1" applyFont="1" applyFill="1" applyAlignment="1">
      <alignment horizontal="right"/>
    </xf>
    <xf numFmtId="165" fontId="0" fillId="0" borderId="0" xfId="0" applyNumberFormat="1" applyAlignment="1">
      <alignment horizontal="right"/>
    </xf>
    <xf numFmtId="9" fontId="9" fillId="2" borderId="0" xfId="0" applyNumberFormat="1" applyFont="1" applyFill="1" applyAlignment="1">
      <alignment horizontal="right"/>
    </xf>
    <xf numFmtId="0" fontId="11" fillId="0" borderId="0" xfId="0" applyFont="1"/>
    <xf numFmtId="0" fontId="10" fillId="0" borderId="0" xfId="0" applyFont="1"/>
    <xf numFmtId="14" fontId="0" fillId="0" borderId="0" xfId="0" applyNumberFormat="1"/>
    <xf numFmtId="14" fontId="10" fillId="0" borderId="0" xfId="0" applyNumberFormat="1" applyFont="1"/>
    <xf numFmtId="0" fontId="12" fillId="0" borderId="0" xfId="0" applyFont="1"/>
    <xf numFmtId="0" fontId="6" fillId="0" borderId="0" xfId="1"/>
    <xf numFmtId="21" fontId="10" fillId="0" borderId="0" xfId="0" applyNumberFormat="1" applyFont="1"/>
    <xf numFmtId="0" fontId="13" fillId="0" borderId="0" xfId="0" applyFont="1"/>
    <xf numFmtId="0" fontId="14" fillId="0" borderId="0" xfId="0" applyFont="1"/>
    <xf numFmtId="164" fontId="0" fillId="4" borderId="0" xfId="0" applyNumberFormat="1" applyFill="1" applyAlignment="1">
      <alignment horizontal="right"/>
    </xf>
    <xf numFmtId="164" fontId="0" fillId="7" borderId="0" xfId="0" applyNumberFormat="1" applyFill="1" applyAlignment="1">
      <alignment horizontal="right"/>
    </xf>
    <xf numFmtId="164" fontId="0" fillId="6" borderId="0" xfId="0" applyNumberFormat="1" applyFill="1" applyAlignment="1">
      <alignment horizontal="right"/>
    </xf>
    <xf numFmtId="164" fontId="0" fillId="3" borderId="0" xfId="0" applyNumberFormat="1" applyFill="1" applyAlignment="1">
      <alignment horizontal="right"/>
    </xf>
    <xf numFmtId="164" fontId="0" fillId="5" borderId="0" xfId="0" applyNumberFormat="1" applyFill="1" applyAlignment="1">
      <alignment horizontal="right"/>
    </xf>
    <xf numFmtId="0" fontId="9" fillId="12" borderId="0" xfId="0" applyFont="1" applyFill="1"/>
    <xf numFmtId="0" fontId="9" fillId="12" borderId="0" xfId="0" applyFont="1" applyFill="1" applyAlignment="1">
      <alignment horizontal="right"/>
    </xf>
    <xf numFmtId="164" fontId="9" fillId="12" borderId="0" xfId="0" applyNumberFormat="1" applyFont="1" applyFill="1" applyAlignment="1">
      <alignment horizontal="right"/>
    </xf>
    <xf numFmtId="0" fontId="9" fillId="13" borderId="0" xfId="0" applyFont="1" applyFill="1"/>
    <xf numFmtId="0" fontId="9" fillId="13" borderId="0" xfId="0" applyFont="1" applyFill="1" applyAlignment="1">
      <alignment horizontal="right"/>
    </xf>
    <xf numFmtId="0" fontId="1" fillId="0" borderId="0" xfId="0" applyFont="1"/>
    <xf numFmtId="164" fontId="1" fillId="0" borderId="0" xfId="0" applyNumberFormat="1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0031AB0-2069-F54D-A6D6-01C6864553F7}">
  <we:reference id="wa200009404" version="1.0.0.4" store="en-US" storeType="OMEX"/>
  <we:alternateReferences>
    <we:reference id="wa200009404" version="1.0.0.4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://apple.com/BILL" TargetMode="External"/><Relationship Id="rId21" Type="http://schemas.openxmlformats.org/officeDocument/2006/relationships/hyperlink" Target="http://apple.com/BILL" TargetMode="External"/><Relationship Id="rId42" Type="http://schemas.openxmlformats.org/officeDocument/2006/relationships/hyperlink" Target="http://apple.com/BILL" TargetMode="External"/><Relationship Id="rId47" Type="http://schemas.openxmlformats.org/officeDocument/2006/relationships/hyperlink" Target="http://apple.com/BILL" TargetMode="External"/><Relationship Id="rId63" Type="http://schemas.openxmlformats.org/officeDocument/2006/relationships/hyperlink" Target="http://apple.com/BILL" TargetMode="External"/><Relationship Id="rId68" Type="http://schemas.openxmlformats.org/officeDocument/2006/relationships/hyperlink" Target="http://apple.com/BILL" TargetMode="External"/><Relationship Id="rId84" Type="http://schemas.openxmlformats.org/officeDocument/2006/relationships/hyperlink" Target="http://raycast.com/" TargetMode="External"/><Relationship Id="rId16" Type="http://schemas.openxmlformats.org/officeDocument/2006/relationships/hyperlink" Target="http://apple.com/BILL" TargetMode="External"/><Relationship Id="rId11" Type="http://schemas.openxmlformats.org/officeDocument/2006/relationships/hyperlink" Target="http://apple.com/BILL" TargetMode="External"/><Relationship Id="rId32" Type="http://schemas.openxmlformats.org/officeDocument/2006/relationships/hyperlink" Target="http://apple.com/BILL" TargetMode="External"/><Relationship Id="rId37" Type="http://schemas.openxmlformats.org/officeDocument/2006/relationships/hyperlink" Target="http://apple.com/BILL" TargetMode="External"/><Relationship Id="rId53" Type="http://schemas.openxmlformats.org/officeDocument/2006/relationships/hyperlink" Target="http://apple.com/BILL" TargetMode="External"/><Relationship Id="rId58" Type="http://schemas.openxmlformats.org/officeDocument/2006/relationships/hyperlink" Target="http://apple.com/BILL" TargetMode="External"/><Relationship Id="rId74" Type="http://schemas.openxmlformats.org/officeDocument/2006/relationships/hyperlink" Target="http://apple.com/BILL" TargetMode="External"/><Relationship Id="rId79" Type="http://schemas.openxmlformats.org/officeDocument/2006/relationships/hyperlink" Target="http://apple.com/BILL" TargetMode="External"/><Relationship Id="rId5" Type="http://schemas.openxmlformats.org/officeDocument/2006/relationships/hyperlink" Target="http://apple.com/BILL" TargetMode="External"/><Relationship Id="rId19" Type="http://schemas.openxmlformats.org/officeDocument/2006/relationships/hyperlink" Target="http://apple.com/BILL" TargetMode="External"/><Relationship Id="rId14" Type="http://schemas.openxmlformats.org/officeDocument/2006/relationships/hyperlink" Target="http://apple.com/BILL" TargetMode="External"/><Relationship Id="rId22" Type="http://schemas.openxmlformats.org/officeDocument/2006/relationships/hyperlink" Target="http://apple.com/BILL" TargetMode="External"/><Relationship Id="rId27" Type="http://schemas.openxmlformats.org/officeDocument/2006/relationships/hyperlink" Target="http://apple.com/BILL" TargetMode="External"/><Relationship Id="rId30" Type="http://schemas.openxmlformats.org/officeDocument/2006/relationships/hyperlink" Target="http://apple.com/BILL" TargetMode="External"/><Relationship Id="rId35" Type="http://schemas.openxmlformats.org/officeDocument/2006/relationships/hyperlink" Target="http://digitalocean.com/" TargetMode="External"/><Relationship Id="rId43" Type="http://schemas.openxmlformats.org/officeDocument/2006/relationships/hyperlink" Target="http://raycast.com/" TargetMode="External"/><Relationship Id="rId48" Type="http://schemas.openxmlformats.org/officeDocument/2006/relationships/hyperlink" Target="http://apple.com/BILL" TargetMode="External"/><Relationship Id="rId56" Type="http://schemas.openxmlformats.org/officeDocument/2006/relationships/hyperlink" Target="http://apple.com/BILL" TargetMode="External"/><Relationship Id="rId64" Type="http://schemas.openxmlformats.org/officeDocument/2006/relationships/hyperlink" Target="http://apple.com/BILL" TargetMode="External"/><Relationship Id="rId69" Type="http://schemas.openxmlformats.org/officeDocument/2006/relationships/hyperlink" Target="http://apple.com/BILL" TargetMode="External"/><Relationship Id="rId77" Type="http://schemas.openxmlformats.org/officeDocument/2006/relationships/hyperlink" Target="http://apple.com/BILL" TargetMode="External"/><Relationship Id="rId8" Type="http://schemas.openxmlformats.org/officeDocument/2006/relationships/hyperlink" Target="http://apple.com/BILL" TargetMode="External"/><Relationship Id="rId51" Type="http://schemas.openxmlformats.org/officeDocument/2006/relationships/hyperlink" Target="http://paddle.net/" TargetMode="External"/><Relationship Id="rId72" Type="http://schemas.openxmlformats.org/officeDocument/2006/relationships/hyperlink" Target="http://apple.com/BILL" TargetMode="External"/><Relationship Id="rId80" Type="http://schemas.openxmlformats.org/officeDocument/2006/relationships/hyperlink" Target="http://apple.com/BILL" TargetMode="External"/><Relationship Id="rId85" Type="http://schemas.openxmlformats.org/officeDocument/2006/relationships/hyperlink" Target="http://paddle.net/" TargetMode="External"/><Relationship Id="rId3" Type="http://schemas.openxmlformats.org/officeDocument/2006/relationships/hyperlink" Target="http://claritycheck.com/EU" TargetMode="External"/><Relationship Id="rId12" Type="http://schemas.openxmlformats.org/officeDocument/2006/relationships/hyperlink" Target="http://apple.com/BILL" TargetMode="External"/><Relationship Id="rId17" Type="http://schemas.openxmlformats.org/officeDocument/2006/relationships/hyperlink" Target="http://raycast.com/" TargetMode="External"/><Relationship Id="rId25" Type="http://schemas.openxmlformats.org/officeDocument/2006/relationships/hyperlink" Target="http://apple.com/BILL" TargetMode="External"/><Relationship Id="rId33" Type="http://schemas.openxmlformats.org/officeDocument/2006/relationships/hyperlink" Target="http://apple.com/BILL" TargetMode="External"/><Relationship Id="rId38" Type="http://schemas.openxmlformats.org/officeDocument/2006/relationships/hyperlink" Target="http://apple.com/BILL" TargetMode="External"/><Relationship Id="rId46" Type="http://schemas.openxmlformats.org/officeDocument/2006/relationships/hyperlink" Target="http://apple.com/BILL" TargetMode="External"/><Relationship Id="rId59" Type="http://schemas.openxmlformats.org/officeDocument/2006/relationships/hyperlink" Target="http://apple.com/BILL" TargetMode="External"/><Relationship Id="rId67" Type="http://schemas.openxmlformats.org/officeDocument/2006/relationships/hyperlink" Target="http://apple.com/BILL" TargetMode="External"/><Relationship Id="rId20" Type="http://schemas.openxmlformats.org/officeDocument/2006/relationships/hyperlink" Target="http://apple.com/BILL" TargetMode="External"/><Relationship Id="rId41" Type="http://schemas.openxmlformats.org/officeDocument/2006/relationships/hyperlink" Target="http://apple.com/BILL" TargetMode="External"/><Relationship Id="rId54" Type="http://schemas.openxmlformats.org/officeDocument/2006/relationships/hyperlink" Target="http://apple.com/BILL" TargetMode="External"/><Relationship Id="rId62" Type="http://schemas.openxmlformats.org/officeDocument/2006/relationships/hyperlink" Target="http://apple.com/BILL" TargetMode="External"/><Relationship Id="rId70" Type="http://schemas.openxmlformats.org/officeDocument/2006/relationships/hyperlink" Target="http://apple.com/BILL" TargetMode="External"/><Relationship Id="rId75" Type="http://schemas.openxmlformats.org/officeDocument/2006/relationships/hyperlink" Target="http://apple.com/BILL" TargetMode="External"/><Relationship Id="rId83" Type="http://schemas.openxmlformats.org/officeDocument/2006/relationships/hyperlink" Target="http://www.hp.com/" TargetMode="External"/><Relationship Id="rId1" Type="http://schemas.openxmlformats.org/officeDocument/2006/relationships/hyperlink" Target="http://apple.com/BILL" TargetMode="External"/><Relationship Id="rId6" Type="http://schemas.openxmlformats.org/officeDocument/2006/relationships/hyperlink" Target="http://apple.com/BILL" TargetMode="External"/><Relationship Id="rId15" Type="http://schemas.openxmlformats.org/officeDocument/2006/relationships/hyperlink" Target="http://apple.com/BILL" TargetMode="External"/><Relationship Id="rId23" Type="http://schemas.openxmlformats.org/officeDocument/2006/relationships/hyperlink" Target="http://apple.com/BILL" TargetMode="External"/><Relationship Id="rId28" Type="http://schemas.openxmlformats.org/officeDocument/2006/relationships/hyperlink" Target="http://apple.com/BILL" TargetMode="External"/><Relationship Id="rId36" Type="http://schemas.openxmlformats.org/officeDocument/2006/relationships/hyperlink" Target="http://apple.com/BILL" TargetMode="External"/><Relationship Id="rId49" Type="http://schemas.openxmlformats.org/officeDocument/2006/relationships/hyperlink" Target="http://apple.com/BILL" TargetMode="External"/><Relationship Id="rId57" Type="http://schemas.openxmlformats.org/officeDocument/2006/relationships/hyperlink" Target="http://apple.com/BILL" TargetMode="External"/><Relationship Id="rId10" Type="http://schemas.openxmlformats.org/officeDocument/2006/relationships/hyperlink" Target="http://digitalocean.com/" TargetMode="External"/><Relationship Id="rId31" Type="http://schemas.openxmlformats.org/officeDocument/2006/relationships/hyperlink" Target="http://apple.com/BILL" TargetMode="External"/><Relationship Id="rId44" Type="http://schemas.openxmlformats.org/officeDocument/2006/relationships/hyperlink" Target="http://apple.com/BILL" TargetMode="External"/><Relationship Id="rId52" Type="http://schemas.openxmlformats.org/officeDocument/2006/relationships/hyperlink" Target="http://apple.com/BILL" TargetMode="External"/><Relationship Id="rId60" Type="http://schemas.openxmlformats.org/officeDocument/2006/relationships/hyperlink" Target="http://apple.com/BILL" TargetMode="External"/><Relationship Id="rId65" Type="http://schemas.openxmlformats.org/officeDocument/2006/relationships/hyperlink" Target="http://apple.com/BILL" TargetMode="External"/><Relationship Id="rId73" Type="http://schemas.openxmlformats.org/officeDocument/2006/relationships/hyperlink" Target="http://apple.com/BILL" TargetMode="External"/><Relationship Id="rId78" Type="http://schemas.openxmlformats.org/officeDocument/2006/relationships/hyperlink" Target="http://paddle.net/" TargetMode="External"/><Relationship Id="rId81" Type="http://schemas.openxmlformats.org/officeDocument/2006/relationships/hyperlink" Target="http://digitalocean.com/" TargetMode="External"/><Relationship Id="rId86" Type="http://schemas.openxmlformats.org/officeDocument/2006/relationships/hyperlink" Target="http://digitalocean.com/" TargetMode="External"/><Relationship Id="rId4" Type="http://schemas.openxmlformats.org/officeDocument/2006/relationships/hyperlink" Target="http://claritycheck.com/EU" TargetMode="External"/><Relationship Id="rId9" Type="http://schemas.openxmlformats.org/officeDocument/2006/relationships/hyperlink" Target="http://apple.com/BILL" TargetMode="External"/><Relationship Id="rId13" Type="http://schemas.openxmlformats.org/officeDocument/2006/relationships/hyperlink" Target="http://apple.com/BILL" TargetMode="External"/><Relationship Id="rId18" Type="http://schemas.openxmlformats.org/officeDocument/2006/relationships/hyperlink" Target="http://apple.com/BILL" TargetMode="External"/><Relationship Id="rId39" Type="http://schemas.openxmlformats.org/officeDocument/2006/relationships/hyperlink" Target="http://apple.com/BILL" TargetMode="External"/><Relationship Id="rId34" Type="http://schemas.openxmlformats.org/officeDocument/2006/relationships/hyperlink" Target="http://apple.com/BILL" TargetMode="External"/><Relationship Id="rId50" Type="http://schemas.openxmlformats.org/officeDocument/2006/relationships/hyperlink" Target="http://apple.com/BILL" TargetMode="External"/><Relationship Id="rId55" Type="http://schemas.openxmlformats.org/officeDocument/2006/relationships/hyperlink" Target="http://apple.com/BILL" TargetMode="External"/><Relationship Id="rId76" Type="http://schemas.openxmlformats.org/officeDocument/2006/relationships/hyperlink" Target="http://raycast.com/" TargetMode="External"/><Relationship Id="rId7" Type="http://schemas.openxmlformats.org/officeDocument/2006/relationships/hyperlink" Target="http://apple.com/BILL" TargetMode="External"/><Relationship Id="rId71" Type="http://schemas.openxmlformats.org/officeDocument/2006/relationships/hyperlink" Target="http://apple.com/BILL" TargetMode="External"/><Relationship Id="rId2" Type="http://schemas.openxmlformats.org/officeDocument/2006/relationships/hyperlink" Target="http://apple.com/BILL" TargetMode="External"/><Relationship Id="rId29" Type="http://schemas.openxmlformats.org/officeDocument/2006/relationships/hyperlink" Target="http://apple.com/BILL" TargetMode="External"/><Relationship Id="rId24" Type="http://schemas.openxmlformats.org/officeDocument/2006/relationships/hyperlink" Target="http://paddle.net/" TargetMode="External"/><Relationship Id="rId40" Type="http://schemas.openxmlformats.org/officeDocument/2006/relationships/hyperlink" Target="http://apple.com/BILL" TargetMode="External"/><Relationship Id="rId45" Type="http://schemas.openxmlformats.org/officeDocument/2006/relationships/hyperlink" Target="http://apple.com/BILL" TargetMode="External"/><Relationship Id="rId66" Type="http://schemas.openxmlformats.org/officeDocument/2006/relationships/hyperlink" Target="http://digitalocean.com/" TargetMode="External"/><Relationship Id="rId61" Type="http://schemas.openxmlformats.org/officeDocument/2006/relationships/hyperlink" Target="http://apple.com/BILL" TargetMode="External"/><Relationship Id="rId82" Type="http://schemas.openxmlformats.org/officeDocument/2006/relationships/hyperlink" Target="http://apple.com/BI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1"/>
  <sheetViews>
    <sheetView tabSelected="1" topLeftCell="C87" workbookViewId="0">
      <selection activeCell="H97" sqref="H97"/>
    </sheetView>
  </sheetViews>
  <sheetFormatPr baseColWidth="10" defaultRowHeight="13" x14ac:dyDescent="0.15"/>
  <cols>
    <col min="1" max="1" width="16.33203125" customWidth="1"/>
    <col min="2" max="2" width="10.5" customWidth="1"/>
    <col min="3" max="3" width="17.5" customWidth="1"/>
    <col min="4" max="4" width="11.6640625" customWidth="1"/>
    <col min="5" max="7" width="20" customWidth="1"/>
    <col min="8" max="8" width="76.1640625" customWidth="1"/>
    <col min="9" max="256" width="8.83203125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spans="1:8" ht="42" x14ac:dyDescent="0.15">
      <c r="A2">
        <v>130725854</v>
      </c>
      <c r="B2" t="s">
        <v>8</v>
      </c>
      <c r="C2">
        <v>20250904</v>
      </c>
      <c r="D2">
        <v>20250904</v>
      </c>
      <c r="E2" s="4">
        <v>7057.84</v>
      </c>
      <c r="F2" s="4">
        <v>7038.89</v>
      </c>
      <c r="G2" s="4">
        <v>-18.95</v>
      </c>
      <c r="H2" s="3" t="s">
        <v>9</v>
      </c>
    </row>
    <row r="3" spans="1:8" ht="28" x14ac:dyDescent="0.15">
      <c r="A3">
        <v>130725854</v>
      </c>
      <c r="B3" t="s">
        <v>8</v>
      </c>
      <c r="C3">
        <v>20250905</v>
      </c>
      <c r="D3">
        <v>20250905</v>
      </c>
      <c r="E3" s="4">
        <v>7038.89</v>
      </c>
      <c r="F3" s="4">
        <v>6038.89</v>
      </c>
      <c r="G3" s="4">
        <v>-1000</v>
      </c>
      <c r="H3" s="3" t="s">
        <v>10</v>
      </c>
    </row>
    <row r="4" spans="1:8" ht="42" x14ac:dyDescent="0.15">
      <c r="A4">
        <v>130725854</v>
      </c>
      <c r="B4" t="s">
        <v>8</v>
      </c>
      <c r="C4">
        <v>20250906</v>
      </c>
      <c r="D4">
        <v>20250906</v>
      </c>
      <c r="E4" s="4">
        <v>6038.89</v>
      </c>
      <c r="F4" s="4">
        <v>5852.1</v>
      </c>
      <c r="G4" s="4">
        <v>-186.79</v>
      </c>
      <c r="H4" s="3" t="s">
        <v>11</v>
      </c>
    </row>
    <row r="5" spans="1:8" ht="28" x14ac:dyDescent="0.15">
      <c r="A5">
        <v>130725854</v>
      </c>
      <c r="B5" t="s">
        <v>8</v>
      </c>
      <c r="C5">
        <v>20250912</v>
      </c>
      <c r="D5">
        <v>20250912</v>
      </c>
      <c r="E5" s="4">
        <v>5852.1</v>
      </c>
      <c r="F5" s="4">
        <v>5352.1</v>
      </c>
      <c r="G5" s="4">
        <v>-500</v>
      </c>
      <c r="H5" s="3" t="s">
        <v>10</v>
      </c>
    </row>
    <row r="6" spans="1:8" ht="28" x14ac:dyDescent="0.15">
      <c r="A6">
        <v>130725854</v>
      </c>
      <c r="B6" t="s">
        <v>8</v>
      </c>
      <c r="C6">
        <v>20250913</v>
      </c>
      <c r="D6">
        <v>20250913</v>
      </c>
      <c r="E6" s="4">
        <v>5352.1</v>
      </c>
      <c r="F6" s="4">
        <v>4352.1000000000004</v>
      </c>
      <c r="G6" s="4">
        <v>-1000</v>
      </c>
      <c r="H6" s="3" t="s">
        <v>10</v>
      </c>
    </row>
    <row r="7" spans="1:8" ht="14" x14ac:dyDescent="0.15">
      <c r="A7">
        <v>130725854</v>
      </c>
      <c r="B7" t="s">
        <v>8</v>
      </c>
      <c r="C7">
        <v>20250915</v>
      </c>
      <c r="D7">
        <v>20250915</v>
      </c>
      <c r="E7" s="4">
        <v>4352.1000000000004</v>
      </c>
      <c r="F7" s="4">
        <v>4350.2</v>
      </c>
      <c r="G7" s="4">
        <v>-1.9</v>
      </c>
      <c r="H7" s="3" t="s">
        <v>12</v>
      </c>
    </row>
    <row r="8" spans="1:8" ht="56" x14ac:dyDescent="0.15">
      <c r="A8">
        <v>130725854</v>
      </c>
      <c r="B8" t="s">
        <v>8</v>
      </c>
      <c r="C8">
        <v>20250918</v>
      </c>
      <c r="D8">
        <v>20250918</v>
      </c>
      <c r="E8" s="4">
        <v>4350.2</v>
      </c>
      <c r="F8" s="4">
        <v>4315.2</v>
      </c>
      <c r="G8" s="4">
        <v>-35</v>
      </c>
      <c r="H8" s="3" t="s">
        <v>13</v>
      </c>
    </row>
    <row r="9" spans="1:8" ht="56" x14ac:dyDescent="0.15">
      <c r="A9">
        <v>130725854</v>
      </c>
      <c r="B9" t="s">
        <v>8</v>
      </c>
      <c r="C9">
        <v>20250918</v>
      </c>
      <c r="D9">
        <v>20250918</v>
      </c>
      <c r="E9" s="4">
        <v>4315.2</v>
      </c>
      <c r="F9" s="4">
        <v>4306.2</v>
      </c>
      <c r="G9" s="4">
        <v>-9</v>
      </c>
      <c r="H9" s="3" t="s">
        <v>14</v>
      </c>
    </row>
    <row r="10" spans="1:8" ht="28" x14ac:dyDescent="0.15">
      <c r="A10">
        <v>130725854</v>
      </c>
      <c r="B10" t="s">
        <v>8</v>
      </c>
      <c r="C10">
        <v>20250919</v>
      </c>
      <c r="D10">
        <v>20250919</v>
      </c>
      <c r="E10" s="4">
        <v>4306.2</v>
      </c>
      <c r="F10" s="4">
        <v>4292</v>
      </c>
      <c r="G10" s="4">
        <v>-14.2</v>
      </c>
      <c r="H10" s="3" t="s">
        <v>15</v>
      </c>
    </row>
    <row r="11" spans="1:8" ht="28" x14ac:dyDescent="0.15">
      <c r="A11">
        <v>130725854</v>
      </c>
      <c r="B11" t="s">
        <v>8</v>
      </c>
      <c r="C11">
        <v>20250919</v>
      </c>
      <c r="D11">
        <v>20250919</v>
      </c>
      <c r="E11" s="4">
        <v>4292</v>
      </c>
      <c r="F11" s="4">
        <v>4291.3999999999996</v>
      </c>
      <c r="G11" s="4">
        <v>-0.6</v>
      </c>
      <c r="H11" s="3" t="s">
        <v>15</v>
      </c>
    </row>
    <row r="12" spans="1:8" ht="28" x14ac:dyDescent="0.15">
      <c r="A12">
        <v>130725854</v>
      </c>
      <c r="B12" t="s">
        <v>8</v>
      </c>
      <c r="C12">
        <v>20250919</v>
      </c>
      <c r="D12">
        <v>20250919</v>
      </c>
      <c r="E12" s="4">
        <v>4291.3999999999996</v>
      </c>
      <c r="F12" s="4">
        <v>4000</v>
      </c>
      <c r="G12" s="4">
        <v>-291.39999999999998</v>
      </c>
      <c r="H12" s="3" t="s">
        <v>10</v>
      </c>
    </row>
    <row r="13" spans="1:8" ht="28" x14ac:dyDescent="0.15">
      <c r="A13">
        <v>130725854</v>
      </c>
      <c r="B13" t="s">
        <v>8</v>
      </c>
      <c r="C13">
        <v>20250928</v>
      </c>
      <c r="D13">
        <v>20250928</v>
      </c>
      <c r="E13" s="4">
        <v>4000</v>
      </c>
      <c r="F13" s="4">
        <v>3000</v>
      </c>
      <c r="G13" s="4">
        <v>-1000</v>
      </c>
      <c r="H13" s="3" t="s">
        <v>10</v>
      </c>
    </row>
    <row r="14" spans="1:8" ht="28" x14ac:dyDescent="0.15">
      <c r="A14">
        <v>130725854</v>
      </c>
      <c r="B14" t="s">
        <v>8</v>
      </c>
      <c r="C14">
        <v>20250929</v>
      </c>
      <c r="D14">
        <v>20250929</v>
      </c>
      <c r="E14" s="4">
        <v>3000</v>
      </c>
      <c r="F14" s="4">
        <v>2000</v>
      </c>
      <c r="G14" s="4">
        <v>-1000</v>
      </c>
      <c r="H14" s="3" t="s">
        <v>10</v>
      </c>
    </row>
    <row r="15" spans="1:8" ht="42" x14ac:dyDescent="0.15">
      <c r="A15">
        <v>130725854</v>
      </c>
      <c r="B15" t="s">
        <v>8</v>
      </c>
      <c r="C15">
        <v>20251011</v>
      </c>
      <c r="D15">
        <v>20251011</v>
      </c>
      <c r="E15" s="4">
        <v>2000</v>
      </c>
      <c r="F15" s="4">
        <v>1965</v>
      </c>
      <c r="G15" s="4">
        <v>-35</v>
      </c>
      <c r="H15" s="3" t="s">
        <v>16</v>
      </c>
    </row>
    <row r="16" spans="1:8" ht="42" x14ac:dyDescent="0.15">
      <c r="A16">
        <v>130725854</v>
      </c>
      <c r="B16" t="s">
        <v>8</v>
      </c>
      <c r="C16">
        <v>20251011</v>
      </c>
      <c r="D16">
        <v>20251011</v>
      </c>
      <c r="E16" s="4">
        <v>1965</v>
      </c>
      <c r="F16" s="4">
        <v>1945</v>
      </c>
      <c r="G16" s="4">
        <v>-20</v>
      </c>
      <c r="H16" s="3" t="s">
        <v>17</v>
      </c>
    </row>
    <row r="17" spans="1:8" ht="42" x14ac:dyDescent="0.15">
      <c r="A17">
        <v>130725854</v>
      </c>
      <c r="B17" t="s">
        <v>8</v>
      </c>
      <c r="C17">
        <v>20251011</v>
      </c>
      <c r="D17">
        <v>20251011</v>
      </c>
      <c r="E17" s="4">
        <v>1945</v>
      </c>
      <c r="F17" s="4">
        <v>1925</v>
      </c>
      <c r="G17" s="4">
        <v>-20</v>
      </c>
      <c r="H17" s="3" t="s">
        <v>18</v>
      </c>
    </row>
    <row r="18" spans="1:8" ht="28" x14ac:dyDescent="0.15">
      <c r="A18">
        <v>130725854</v>
      </c>
      <c r="B18" t="s">
        <v>8</v>
      </c>
      <c r="C18">
        <v>20251012</v>
      </c>
      <c r="D18">
        <v>20251012</v>
      </c>
      <c r="E18" s="4">
        <v>1925</v>
      </c>
      <c r="F18" s="4">
        <v>925</v>
      </c>
      <c r="G18" s="4">
        <v>-1000</v>
      </c>
      <c r="H18" s="3" t="s">
        <v>10</v>
      </c>
    </row>
    <row r="19" spans="1:8" ht="42" x14ac:dyDescent="0.15">
      <c r="A19">
        <v>130725854</v>
      </c>
      <c r="B19" t="s">
        <v>8</v>
      </c>
      <c r="C19">
        <v>20251016</v>
      </c>
      <c r="D19">
        <v>20251016</v>
      </c>
      <c r="E19" s="4">
        <v>925</v>
      </c>
      <c r="F19" s="4">
        <v>529.66999999999996</v>
      </c>
      <c r="G19" s="4">
        <v>-395.33</v>
      </c>
      <c r="H19" s="3" t="s">
        <v>19</v>
      </c>
    </row>
    <row r="20" spans="1:8" ht="14" x14ac:dyDescent="0.15">
      <c r="A20">
        <v>130725854</v>
      </c>
      <c r="B20" t="s">
        <v>8</v>
      </c>
      <c r="C20">
        <v>20251017</v>
      </c>
      <c r="D20">
        <v>20251017</v>
      </c>
      <c r="E20" s="4">
        <v>529.66999999999996</v>
      </c>
      <c r="F20" s="4">
        <v>527.77</v>
      </c>
      <c r="G20" s="4">
        <v>-1.9</v>
      </c>
      <c r="H20" s="3" t="s">
        <v>12</v>
      </c>
    </row>
    <row r="21" spans="1:8" ht="28" x14ac:dyDescent="0.15">
      <c r="A21">
        <v>130725854</v>
      </c>
      <c r="B21" t="s">
        <v>8</v>
      </c>
      <c r="C21">
        <v>20251021</v>
      </c>
      <c r="D21">
        <v>20251021</v>
      </c>
      <c r="E21" s="4">
        <v>527.77</v>
      </c>
      <c r="F21" s="4">
        <v>3.32</v>
      </c>
      <c r="G21" s="4">
        <v>-524.45000000000005</v>
      </c>
      <c r="H21" s="3" t="s">
        <v>10</v>
      </c>
    </row>
    <row r="22" spans="1:8" ht="14" x14ac:dyDescent="0.15">
      <c r="A22">
        <v>130725854</v>
      </c>
      <c r="B22" t="s">
        <v>8</v>
      </c>
      <c r="C22">
        <v>20251117</v>
      </c>
      <c r="D22">
        <v>20251117</v>
      </c>
      <c r="E22" s="4">
        <v>3.32</v>
      </c>
      <c r="F22" s="4">
        <v>1.42</v>
      </c>
      <c r="G22" s="4">
        <v>-1.9</v>
      </c>
      <c r="H22" s="3" t="s">
        <v>12</v>
      </c>
    </row>
    <row r="23" spans="1:8" ht="14" x14ac:dyDescent="0.15">
      <c r="A23">
        <v>130725854</v>
      </c>
      <c r="B23" t="s">
        <v>8</v>
      </c>
      <c r="C23">
        <v>20251215</v>
      </c>
      <c r="D23">
        <v>20251215</v>
      </c>
      <c r="E23" s="4">
        <v>1.42</v>
      </c>
      <c r="F23" s="4">
        <v>-0.48</v>
      </c>
      <c r="G23" s="4">
        <v>-1.9</v>
      </c>
      <c r="H23" s="3" t="s">
        <v>12</v>
      </c>
    </row>
    <row r="24" spans="1:8" ht="14" x14ac:dyDescent="0.15">
      <c r="A24">
        <v>121377849</v>
      </c>
      <c r="B24" t="s">
        <v>8</v>
      </c>
      <c r="C24">
        <v>20250915</v>
      </c>
      <c r="D24">
        <v>20250915</v>
      </c>
      <c r="E24" s="5">
        <v>-11.1</v>
      </c>
      <c r="F24" s="5">
        <v>-14.8</v>
      </c>
      <c r="G24" s="5">
        <v>-3.7</v>
      </c>
      <c r="H24" s="3" t="s">
        <v>20</v>
      </c>
    </row>
    <row r="25" spans="1:8" ht="42" x14ac:dyDescent="0.15">
      <c r="A25">
        <v>121377849</v>
      </c>
      <c r="B25" t="s">
        <v>8</v>
      </c>
      <c r="C25">
        <v>20250919</v>
      </c>
      <c r="D25">
        <v>20250919</v>
      </c>
      <c r="E25" s="5">
        <v>-14.8</v>
      </c>
      <c r="F25" s="5">
        <v>19985.2</v>
      </c>
      <c r="G25" s="5">
        <v>20000</v>
      </c>
      <c r="H25" s="3" t="s">
        <v>21</v>
      </c>
    </row>
    <row r="26" spans="1:8" ht="28" x14ac:dyDescent="0.15">
      <c r="A26">
        <v>121377849</v>
      </c>
      <c r="B26" t="s">
        <v>8</v>
      </c>
      <c r="C26">
        <v>20250919</v>
      </c>
      <c r="D26">
        <v>20250919</v>
      </c>
      <c r="E26" s="5">
        <v>19985.2</v>
      </c>
      <c r="F26" s="5">
        <v>19999.400000000001</v>
      </c>
      <c r="G26" s="5">
        <v>14.2</v>
      </c>
      <c r="H26" s="3" t="s">
        <v>22</v>
      </c>
    </row>
    <row r="27" spans="1:8" ht="28" x14ac:dyDescent="0.15">
      <c r="A27">
        <v>121377849</v>
      </c>
      <c r="B27" t="s">
        <v>8</v>
      </c>
      <c r="C27">
        <v>20250919</v>
      </c>
      <c r="D27">
        <v>20250919</v>
      </c>
      <c r="E27" s="5">
        <v>19999.400000000001</v>
      </c>
      <c r="F27" s="5">
        <v>20000</v>
      </c>
      <c r="G27" s="5">
        <v>0.6</v>
      </c>
      <c r="H27" s="3" t="s">
        <v>22</v>
      </c>
    </row>
    <row r="28" spans="1:8" ht="28" x14ac:dyDescent="0.15">
      <c r="A28">
        <v>121377849</v>
      </c>
      <c r="B28" t="s">
        <v>8</v>
      </c>
      <c r="C28">
        <v>20250919</v>
      </c>
      <c r="D28">
        <v>20250919</v>
      </c>
      <c r="E28" s="5">
        <v>20000</v>
      </c>
      <c r="F28" s="5">
        <v>0</v>
      </c>
      <c r="G28" s="5">
        <v>-20000</v>
      </c>
      <c r="H28" s="3" t="s">
        <v>23</v>
      </c>
    </row>
    <row r="29" spans="1:8" ht="14" x14ac:dyDescent="0.15">
      <c r="A29">
        <v>121377849</v>
      </c>
      <c r="B29" t="s">
        <v>8</v>
      </c>
      <c r="C29">
        <v>20251017</v>
      </c>
      <c r="D29">
        <v>20251017</v>
      </c>
      <c r="E29" s="5">
        <v>0</v>
      </c>
      <c r="F29" s="5">
        <v>-3.7</v>
      </c>
      <c r="G29" s="5">
        <v>-3.7</v>
      </c>
      <c r="H29" s="3" t="s">
        <v>20</v>
      </c>
    </row>
    <row r="30" spans="1:8" ht="28" x14ac:dyDescent="0.15">
      <c r="A30">
        <v>121377849</v>
      </c>
      <c r="B30" t="s">
        <v>8</v>
      </c>
      <c r="C30">
        <v>20251103</v>
      </c>
      <c r="D30">
        <v>20251103</v>
      </c>
      <c r="E30" s="5">
        <v>-3.7</v>
      </c>
      <c r="F30" s="5">
        <v>1496.3</v>
      </c>
      <c r="G30" s="5">
        <v>1500</v>
      </c>
      <c r="H30" s="3" t="s">
        <v>24</v>
      </c>
    </row>
    <row r="31" spans="1:8" ht="42" x14ac:dyDescent="0.15">
      <c r="A31">
        <v>121377849</v>
      </c>
      <c r="B31" t="s">
        <v>8</v>
      </c>
      <c r="C31">
        <v>20251103</v>
      </c>
      <c r="D31">
        <v>20251103</v>
      </c>
      <c r="E31" s="5">
        <v>1496.3</v>
      </c>
      <c r="F31" s="5">
        <v>296.3</v>
      </c>
      <c r="G31" s="5">
        <v>-1200</v>
      </c>
      <c r="H31" s="3" t="s">
        <v>25</v>
      </c>
    </row>
    <row r="32" spans="1:8" ht="28" x14ac:dyDescent="0.15">
      <c r="A32">
        <v>121377849</v>
      </c>
      <c r="B32" t="s">
        <v>8</v>
      </c>
      <c r="C32">
        <v>20251107</v>
      </c>
      <c r="D32">
        <v>20251107</v>
      </c>
      <c r="E32" s="5">
        <v>296.3</v>
      </c>
      <c r="F32" s="5">
        <v>0.3</v>
      </c>
      <c r="G32" s="5">
        <v>-296</v>
      </c>
      <c r="H32" s="3" t="s">
        <v>10</v>
      </c>
    </row>
    <row r="33" spans="1:8" ht="14" x14ac:dyDescent="0.15">
      <c r="A33">
        <v>121377849</v>
      </c>
      <c r="B33" t="s">
        <v>8</v>
      </c>
      <c r="C33">
        <v>20251117</v>
      </c>
      <c r="D33">
        <v>20251117</v>
      </c>
      <c r="E33" s="5">
        <v>0.3</v>
      </c>
      <c r="F33" s="5">
        <v>-3.4</v>
      </c>
      <c r="G33" s="5">
        <v>-3.7</v>
      </c>
      <c r="H33" s="3" t="s">
        <v>20</v>
      </c>
    </row>
    <row r="34" spans="1:8" ht="14" x14ac:dyDescent="0.15">
      <c r="A34">
        <v>121377849</v>
      </c>
      <c r="B34" t="s">
        <v>8</v>
      </c>
      <c r="C34">
        <v>20251215</v>
      </c>
      <c r="D34">
        <v>20251215</v>
      </c>
      <c r="E34" s="5">
        <v>-3.4</v>
      </c>
      <c r="F34" s="5">
        <v>-7.1</v>
      </c>
      <c r="G34" s="5">
        <v>-3.7</v>
      </c>
      <c r="H34" s="3" t="s">
        <v>20</v>
      </c>
    </row>
    <row r="35" spans="1:8" ht="56" x14ac:dyDescent="0.15">
      <c r="A35">
        <v>465631533</v>
      </c>
      <c r="B35" t="s">
        <v>8</v>
      </c>
      <c r="C35">
        <v>20250901</v>
      </c>
      <c r="D35">
        <v>20250901</v>
      </c>
      <c r="E35" s="6">
        <v>3569.04</v>
      </c>
      <c r="F35" s="6">
        <v>196.59</v>
      </c>
      <c r="G35" s="6">
        <v>-3372.45</v>
      </c>
      <c r="H35" s="3" t="s">
        <v>26</v>
      </c>
    </row>
    <row r="36" spans="1:8" ht="56" x14ac:dyDescent="0.15">
      <c r="A36">
        <v>465631533</v>
      </c>
      <c r="B36" t="s">
        <v>8</v>
      </c>
      <c r="C36">
        <v>20250901</v>
      </c>
      <c r="D36">
        <v>20250901</v>
      </c>
      <c r="E36" s="6">
        <v>196.59</v>
      </c>
      <c r="F36" s="6">
        <v>69.790000000000006</v>
      </c>
      <c r="G36" s="6">
        <v>-126.8</v>
      </c>
      <c r="H36" s="3" t="s">
        <v>27</v>
      </c>
    </row>
    <row r="37" spans="1:8" ht="28" x14ac:dyDescent="0.15">
      <c r="A37">
        <v>465631533</v>
      </c>
      <c r="B37" t="s">
        <v>8</v>
      </c>
      <c r="C37">
        <v>20250901</v>
      </c>
      <c r="D37">
        <v>20250901</v>
      </c>
      <c r="E37" s="6">
        <v>69.790000000000006</v>
      </c>
      <c r="F37" s="6">
        <v>47.79</v>
      </c>
      <c r="G37" s="6">
        <v>-22</v>
      </c>
      <c r="H37" s="3" t="s">
        <v>28</v>
      </c>
    </row>
    <row r="38" spans="1:8" ht="28" x14ac:dyDescent="0.15">
      <c r="A38">
        <v>465631533</v>
      </c>
      <c r="B38" t="s">
        <v>8</v>
      </c>
      <c r="C38">
        <v>20250902</v>
      </c>
      <c r="D38">
        <v>20250902</v>
      </c>
      <c r="E38" s="6">
        <v>47.79</v>
      </c>
      <c r="F38" s="6">
        <v>32.79</v>
      </c>
      <c r="G38" s="6">
        <v>-15</v>
      </c>
      <c r="H38" s="3" t="s">
        <v>29</v>
      </c>
    </row>
    <row r="39" spans="1:8" ht="56" x14ac:dyDescent="0.15">
      <c r="A39">
        <v>465631533</v>
      </c>
      <c r="B39" t="s">
        <v>8</v>
      </c>
      <c r="C39">
        <v>20250903</v>
      </c>
      <c r="D39">
        <v>20250903</v>
      </c>
      <c r="E39" s="6">
        <v>32.79</v>
      </c>
      <c r="F39" s="6">
        <v>17.8</v>
      </c>
      <c r="G39" s="6">
        <v>-14.99</v>
      </c>
      <c r="H39" s="3" t="s">
        <v>30</v>
      </c>
    </row>
    <row r="40" spans="1:8" ht="28" x14ac:dyDescent="0.15">
      <c r="A40">
        <v>465631533</v>
      </c>
      <c r="B40" t="s">
        <v>8</v>
      </c>
      <c r="C40">
        <v>20250905</v>
      </c>
      <c r="D40">
        <v>20250905</v>
      </c>
      <c r="E40" s="6">
        <v>17.8</v>
      </c>
      <c r="F40" s="6">
        <v>1017.8</v>
      </c>
      <c r="G40" s="6">
        <v>1000</v>
      </c>
      <c r="H40" s="3" t="s">
        <v>22</v>
      </c>
    </row>
    <row r="41" spans="1:8" ht="56" x14ac:dyDescent="0.15">
      <c r="A41">
        <v>465631533</v>
      </c>
      <c r="B41" t="s">
        <v>8</v>
      </c>
      <c r="C41">
        <v>20250905</v>
      </c>
      <c r="D41">
        <v>20250905</v>
      </c>
      <c r="E41" s="6">
        <v>1017.8</v>
      </c>
      <c r="F41" s="6">
        <v>961.74</v>
      </c>
      <c r="G41" s="6">
        <v>-56.06</v>
      </c>
      <c r="H41" s="3" t="s">
        <v>31</v>
      </c>
    </row>
    <row r="42" spans="1:8" ht="56" x14ac:dyDescent="0.15">
      <c r="A42">
        <v>465631533</v>
      </c>
      <c r="B42" t="s">
        <v>8</v>
      </c>
      <c r="C42">
        <v>20250905</v>
      </c>
      <c r="D42">
        <v>20250905</v>
      </c>
      <c r="E42" s="6">
        <v>961.74</v>
      </c>
      <c r="F42" s="6">
        <v>937.74</v>
      </c>
      <c r="G42" s="6">
        <v>-24</v>
      </c>
      <c r="H42" s="3" t="s">
        <v>32</v>
      </c>
    </row>
    <row r="43" spans="1:8" ht="28" x14ac:dyDescent="0.15">
      <c r="A43">
        <v>465631533</v>
      </c>
      <c r="B43" t="s">
        <v>8</v>
      </c>
      <c r="C43">
        <v>20250907</v>
      </c>
      <c r="D43">
        <v>20250907</v>
      </c>
      <c r="E43" s="6">
        <v>937.74</v>
      </c>
      <c r="F43" s="6">
        <v>765.85</v>
      </c>
      <c r="G43" s="6">
        <v>-171.89</v>
      </c>
      <c r="H43" s="3" t="s">
        <v>33</v>
      </c>
    </row>
    <row r="44" spans="1:8" ht="28" x14ac:dyDescent="0.15">
      <c r="A44">
        <v>465631533</v>
      </c>
      <c r="B44" t="s">
        <v>8</v>
      </c>
      <c r="C44">
        <v>20250907</v>
      </c>
      <c r="D44">
        <v>20250907</v>
      </c>
      <c r="E44" s="6">
        <v>765.85</v>
      </c>
      <c r="F44" s="6">
        <v>763.85</v>
      </c>
      <c r="G44" s="6">
        <v>-2</v>
      </c>
      <c r="H44" s="3" t="s">
        <v>34</v>
      </c>
    </row>
    <row r="45" spans="1:8" ht="56" x14ac:dyDescent="0.15">
      <c r="A45">
        <v>465631533</v>
      </c>
      <c r="B45" t="s">
        <v>8</v>
      </c>
      <c r="C45">
        <v>20250908</v>
      </c>
      <c r="D45">
        <v>20250908</v>
      </c>
      <c r="E45" s="6">
        <v>763.85</v>
      </c>
      <c r="F45" s="6">
        <v>301.85000000000002</v>
      </c>
      <c r="G45" s="6">
        <v>-462</v>
      </c>
      <c r="H45" s="3" t="s">
        <v>35</v>
      </c>
    </row>
    <row r="46" spans="1:8" ht="42" x14ac:dyDescent="0.15">
      <c r="A46">
        <v>465631533</v>
      </c>
      <c r="B46" t="s">
        <v>8</v>
      </c>
      <c r="C46">
        <v>20250909</v>
      </c>
      <c r="D46">
        <v>20250909</v>
      </c>
      <c r="E46" s="6">
        <v>301.85000000000002</v>
      </c>
      <c r="F46" s="6">
        <v>236.85</v>
      </c>
      <c r="G46" s="6">
        <v>-65</v>
      </c>
      <c r="H46" s="3" t="s">
        <v>36</v>
      </c>
    </row>
    <row r="47" spans="1:8" ht="28" x14ac:dyDescent="0.15">
      <c r="A47">
        <v>465631533</v>
      </c>
      <c r="B47" t="s">
        <v>8</v>
      </c>
      <c r="C47">
        <v>20250909</v>
      </c>
      <c r="D47">
        <v>20250909</v>
      </c>
      <c r="E47" s="6">
        <v>236.85</v>
      </c>
      <c r="F47" s="6">
        <v>199.44</v>
      </c>
      <c r="G47" s="6">
        <v>-37.409999999999997</v>
      </c>
      <c r="H47" s="3" t="s">
        <v>37</v>
      </c>
    </row>
    <row r="48" spans="1:8" ht="56" x14ac:dyDescent="0.15">
      <c r="A48">
        <v>465631533</v>
      </c>
      <c r="B48" t="s">
        <v>8</v>
      </c>
      <c r="C48">
        <v>20250909</v>
      </c>
      <c r="D48">
        <v>20250909</v>
      </c>
      <c r="E48" s="6">
        <v>199.44</v>
      </c>
      <c r="F48" s="6">
        <v>160.72</v>
      </c>
      <c r="G48" s="6">
        <v>-38.72</v>
      </c>
      <c r="H48" s="3" t="s">
        <v>38</v>
      </c>
    </row>
    <row r="49" spans="1:8" ht="56" x14ac:dyDescent="0.15">
      <c r="A49">
        <v>465631533</v>
      </c>
      <c r="B49" t="s">
        <v>8</v>
      </c>
      <c r="C49">
        <v>20250910</v>
      </c>
      <c r="D49">
        <v>20250910</v>
      </c>
      <c r="E49" s="6">
        <v>160.72</v>
      </c>
      <c r="F49" s="6">
        <v>150.72</v>
      </c>
      <c r="G49" s="6">
        <v>-10</v>
      </c>
      <c r="H49" s="3" t="s">
        <v>39</v>
      </c>
    </row>
    <row r="50" spans="1:8" ht="28" x14ac:dyDescent="0.15">
      <c r="A50">
        <v>465631533</v>
      </c>
      <c r="B50" t="s">
        <v>8</v>
      </c>
      <c r="C50">
        <v>20250910</v>
      </c>
      <c r="D50">
        <v>20250910</v>
      </c>
      <c r="E50" s="6">
        <v>150.72</v>
      </c>
      <c r="F50" s="6">
        <v>144.38999999999999</v>
      </c>
      <c r="G50" s="6">
        <v>-6.33</v>
      </c>
      <c r="H50" s="3" t="s">
        <v>40</v>
      </c>
    </row>
    <row r="51" spans="1:8" ht="28" x14ac:dyDescent="0.15">
      <c r="A51">
        <v>465631533</v>
      </c>
      <c r="B51" t="s">
        <v>8</v>
      </c>
      <c r="C51">
        <v>20250910</v>
      </c>
      <c r="D51">
        <v>20250910</v>
      </c>
      <c r="E51" s="6">
        <v>144.38999999999999</v>
      </c>
      <c r="F51" s="6">
        <v>130.38999999999999</v>
      </c>
      <c r="G51" s="6">
        <v>-14</v>
      </c>
      <c r="H51" s="3" t="s">
        <v>41</v>
      </c>
    </row>
    <row r="52" spans="1:8" ht="28" x14ac:dyDescent="0.15">
      <c r="A52">
        <v>465631533</v>
      </c>
      <c r="B52" t="s">
        <v>8</v>
      </c>
      <c r="C52">
        <v>20250911</v>
      </c>
      <c r="D52">
        <v>20250911</v>
      </c>
      <c r="E52" s="6">
        <v>130.38999999999999</v>
      </c>
      <c r="F52" s="6">
        <v>96.06</v>
      </c>
      <c r="G52" s="6">
        <v>-34.33</v>
      </c>
      <c r="H52" s="3" t="s">
        <v>42</v>
      </c>
    </row>
    <row r="53" spans="1:8" ht="28" x14ac:dyDescent="0.15">
      <c r="A53">
        <v>465631533</v>
      </c>
      <c r="B53" t="s">
        <v>8</v>
      </c>
      <c r="C53">
        <v>20250911</v>
      </c>
      <c r="D53">
        <v>20250911</v>
      </c>
      <c r="E53" s="6">
        <v>96.06</v>
      </c>
      <c r="F53" s="6">
        <v>55.66</v>
      </c>
      <c r="G53" s="6">
        <v>-40.4</v>
      </c>
      <c r="H53" s="3" t="s">
        <v>43</v>
      </c>
    </row>
    <row r="54" spans="1:8" ht="28" x14ac:dyDescent="0.15">
      <c r="A54">
        <v>465631533</v>
      </c>
      <c r="B54" t="s">
        <v>8</v>
      </c>
      <c r="C54">
        <v>20250912</v>
      </c>
      <c r="D54">
        <v>20250912</v>
      </c>
      <c r="E54" s="6">
        <v>55.66</v>
      </c>
      <c r="F54" s="6">
        <v>10.66</v>
      </c>
      <c r="G54" s="6">
        <v>-45</v>
      </c>
      <c r="H54" s="3" t="s">
        <v>44</v>
      </c>
    </row>
    <row r="55" spans="1:8" ht="28" x14ac:dyDescent="0.15">
      <c r="A55">
        <v>465631533</v>
      </c>
      <c r="B55" t="s">
        <v>8</v>
      </c>
      <c r="C55">
        <v>20250912</v>
      </c>
      <c r="D55">
        <v>20250912</v>
      </c>
      <c r="E55" s="6">
        <v>10.66</v>
      </c>
      <c r="F55" s="6">
        <v>510.66</v>
      </c>
      <c r="G55" s="6">
        <v>500</v>
      </c>
      <c r="H55" s="3" t="s">
        <v>22</v>
      </c>
    </row>
    <row r="56" spans="1:8" ht="56" x14ac:dyDescent="0.15">
      <c r="A56">
        <v>465631533</v>
      </c>
      <c r="B56" t="s">
        <v>8</v>
      </c>
      <c r="C56">
        <v>20250913</v>
      </c>
      <c r="D56">
        <v>20250913</v>
      </c>
      <c r="E56" s="6">
        <v>510.66</v>
      </c>
      <c r="F56" s="6">
        <v>451.62</v>
      </c>
      <c r="G56" s="6">
        <v>-59.04</v>
      </c>
      <c r="H56" s="3" t="s">
        <v>45</v>
      </c>
    </row>
    <row r="57" spans="1:8" ht="28" x14ac:dyDescent="0.15">
      <c r="A57">
        <v>465631533</v>
      </c>
      <c r="B57" t="s">
        <v>8</v>
      </c>
      <c r="C57">
        <v>20250913</v>
      </c>
      <c r="D57">
        <v>20250913</v>
      </c>
      <c r="E57" s="6">
        <v>451.62</v>
      </c>
      <c r="F57" s="6">
        <v>1451.62</v>
      </c>
      <c r="G57" s="6">
        <v>1000</v>
      </c>
      <c r="H57" s="3" t="s">
        <v>22</v>
      </c>
    </row>
    <row r="58" spans="1:8" ht="28" x14ac:dyDescent="0.15">
      <c r="A58">
        <v>465631533</v>
      </c>
      <c r="B58" t="s">
        <v>8</v>
      </c>
      <c r="C58">
        <v>20250913</v>
      </c>
      <c r="D58">
        <v>20250913</v>
      </c>
      <c r="E58" s="6">
        <v>1451.62</v>
      </c>
      <c r="F58" s="6">
        <v>951.62</v>
      </c>
      <c r="G58" s="6">
        <v>-500</v>
      </c>
      <c r="H58" s="3" t="s">
        <v>46</v>
      </c>
    </row>
    <row r="59" spans="1:8" ht="28" x14ac:dyDescent="0.15">
      <c r="A59">
        <v>465631533</v>
      </c>
      <c r="B59" t="s">
        <v>8</v>
      </c>
      <c r="C59">
        <v>20250913</v>
      </c>
      <c r="D59">
        <v>20250913</v>
      </c>
      <c r="E59" s="6">
        <v>951.62</v>
      </c>
      <c r="F59" s="6">
        <v>833.17</v>
      </c>
      <c r="G59" s="6">
        <v>-118.45</v>
      </c>
      <c r="H59" s="3" t="s">
        <v>47</v>
      </c>
    </row>
    <row r="60" spans="1:8" ht="42" x14ac:dyDescent="0.15">
      <c r="A60">
        <v>465631533</v>
      </c>
      <c r="B60" t="s">
        <v>8</v>
      </c>
      <c r="C60">
        <v>20250914</v>
      </c>
      <c r="D60">
        <v>20250914</v>
      </c>
      <c r="E60" s="6">
        <v>833.17</v>
      </c>
      <c r="F60" s="6">
        <v>779.72</v>
      </c>
      <c r="G60" s="6">
        <v>-53.45</v>
      </c>
      <c r="H60" s="3" t="s">
        <v>48</v>
      </c>
    </row>
    <row r="61" spans="1:8" ht="28" x14ac:dyDescent="0.15">
      <c r="A61">
        <v>465631533</v>
      </c>
      <c r="B61" t="s">
        <v>8</v>
      </c>
      <c r="C61">
        <v>20250914</v>
      </c>
      <c r="D61">
        <v>20250914</v>
      </c>
      <c r="E61" s="6">
        <v>779.72</v>
      </c>
      <c r="F61" s="6">
        <v>659.74</v>
      </c>
      <c r="G61" s="6">
        <v>-119.98</v>
      </c>
      <c r="H61" s="3" t="s">
        <v>49</v>
      </c>
    </row>
    <row r="62" spans="1:8" ht="28" x14ac:dyDescent="0.15">
      <c r="A62">
        <v>465631533</v>
      </c>
      <c r="B62" t="s">
        <v>8</v>
      </c>
      <c r="C62">
        <v>20250914</v>
      </c>
      <c r="D62">
        <v>20250914</v>
      </c>
      <c r="E62" s="6">
        <v>659.74</v>
      </c>
      <c r="F62" s="6">
        <v>657.24</v>
      </c>
      <c r="G62" s="6">
        <v>-2.5</v>
      </c>
      <c r="H62" s="3" t="s">
        <v>50</v>
      </c>
    </row>
    <row r="63" spans="1:8" ht="28" x14ac:dyDescent="0.15">
      <c r="A63">
        <v>465631533</v>
      </c>
      <c r="B63" t="s">
        <v>8</v>
      </c>
      <c r="C63">
        <v>20250914</v>
      </c>
      <c r="D63">
        <v>20250914</v>
      </c>
      <c r="E63" s="6">
        <v>657.24</v>
      </c>
      <c r="F63" s="6">
        <v>636.84</v>
      </c>
      <c r="G63" s="6">
        <v>-20.399999999999999</v>
      </c>
      <c r="H63" s="3" t="s">
        <v>51</v>
      </c>
    </row>
    <row r="64" spans="1:8" ht="56" x14ac:dyDescent="0.15">
      <c r="A64">
        <v>465631533</v>
      </c>
      <c r="B64" t="s">
        <v>8</v>
      </c>
      <c r="C64">
        <v>20250915</v>
      </c>
      <c r="D64">
        <v>20250915</v>
      </c>
      <c r="E64" s="6">
        <v>636.84</v>
      </c>
      <c r="F64" s="6">
        <v>610.71</v>
      </c>
      <c r="G64" s="6">
        <v>-26.13</v>
      </c>
      <c r="H64" s="3" t="s">
        <v>52</v>
      </c>
    </row>
    <row r="65" spans="1:8" ht="28" x14ac:dyDescent="0.15">
      <c r="A65">
        <v>465631533</v>
      </c>
      <c r="B65" t="s">
        <v>8</v>
      </c>
      <c r="C65">
        <v>20250915</v>
      </c>
      <c r="D65">
        <v>20250915</v>
      </c>
      <c r="E65" s="6">
        <v>610.71</v>
      </c>
      <c r="F65" s="6">
        <v>593.16</v>
      </c>
      <c r="G65" s="6">
        <v>-17.55</v>
      </c>
      <c r="H65" s="3" t="s">
        <v>53</v>
      </c>
    </row>
    <row r="66" spans="1:8" ht="56" x14ac:dyDescent="0.15">
      <c r="A66">
        <v>465631533</v>
      </c>
      <c r="B66" t="s">
        <v>8</v>
      </c>
      <c r="C66">
        <v>20250915</v>
      </c>
      <c r="D66">
        <v>20250915</v>
      </c>
      <c r="E66" s="6">
        <v>593.16</v>
      </c>
      <c r="F66" s="6">
        <v>809.16</v>
      </c>
      <c r="G66" s="6">
        <v>216</v>
      </c>
      <c r="H66" s="3" t="s">
        <v>54</v>
      </c>
    </row>
    <row r="67" spans="1:8" ht="28" x14ac:dyDescent="0.15">
      <c r="A67">
        <v>465631533</v>
      </c>
      <c r="B67" t="s">
        <v>8</v>
      </c>
      <c r="C67">
        <v>20250915</v>
      </c>
      <c r="D67">
        <v>20250915</v>
      </c>
      <c r="E67" s="6">
        <v>809.16</v>
      </c>
      <c r="F67" s="6">
        <v>800.66</v>
      </c>
      <c r="G67" s="6">
        <v>-8.5</v>
      </c>
      <c r="H67" s="3" t="s">
        <v>55</v>
      </c>
    </row>
    <row r="68" spans="1:8" ht="28" x14ac:dyDescent="0.15">
      <c r="A68">
        <v>465631533</v>
      </c>
      <c r="B68" t="s">
        <v>8</v>
      </c>
      <c r="C68">
        <v>20250915</v>
      </c>
      <c r="D68">
        <v>20250915</v>
      </c>
      <c r="E68" s="6">
        <v>800.66</v>
      </c>
      <c r="F68" s="6">
        <v>754.66</v>
      </c>
      <c r="G68" s="6">
        <v>-46</v>
      </c>
      <c r="H68" s="3" t="s">
        <v>56</v>
      </c>
    </row>
    <row r="69" spans="1:8" ht="28" x14ac:dyDescent="0.15">
      <c r="A69">
        <v>465631533</v>
      </c>
      <c r="B69" t="s">
        <v>8</v>
      </c>
      <c r="C69">
        <v>20250915</v>
      </c>
      <c r="D69">
        <v>20250915</v>
      </c>
      <c r="E69" s="6">
        <v>754.66</v>
      </c>
      <c r="F69" s="6">
        <v>747.31</v>
      </c>
      <c r="G69" s="6">
        <v>-7.35</v>
      </c>
      <c r="H69" s="3" t="s">
        <v>57</v>
      </c>
    </row>
    <row r="70" spans="1:8" ht="28" x14ac:dyDescent="0.15">
      <c r="A70">
        <v>465631533</v>
      </c>
      <c r="B70" t="s">
        <v>8</v>
      </c>
      <c r="C70">
        <v>20250915</v>
      </c>
      <c r="D70">
        <v>20250915</v>
      </c>
      <c r="E70" s="6">
        <v>747.31</v>
      </c>
      <c r="F70" s="6">
        <v>733.66</v>
      </c>
      <c r="G70" s="6">
        <v>-13.65</v>
      </c>
      <c r="H70" s="3" t="s">
        <v>58</v>
      </c>
    </row>
    <row r="71" spans="1:8" ht="56" x14ac:dyDescent="0.15">
      <c r="A71">
        <v>465631533</v>
      </c>
      <c r="B71" t="s">
        <v>8</v>
      </c>
      <c r="C71">
        <v>20250916</v>
      </c>
      <c r="D71">
        <v>20250916</v>
      </c>
      <c r="E71" s="6">
        <v>733.66</v>
      </c>
      <c r="F71" s="6">
        <v>714.58</v>
      </c>
      <c r="G71" s="6">
        <v>-19.079999999999998</v>
      </c>
      <c r="H71" s="3" t="s">
        <v>59</v>
      </c>
    </row>
    <row r="72" spans="1:8" ht="28" x14ac:dyDescent="0.15">
      <c r="A72">
        <v>465631533</v>
      </c>
      <c r="B72" t="s">
        <v>8</v>
      </c>
      <c r="C72">
        <v>20250916</v>
      </c>
      <c r="D72">
        <v>20250916</v>
      </c>
      <c r="E72" s="6">
        <v>714.58</v>
      </c>
      <c r="F72" s="6">
        <v>682.28</v>
      </c>
      <c r="G72" s="6">
        <v>-32.299999999999997</v>
      </c>
      <c r="H72" s="3" t="s">
        <v>60</v>
      </c>
    </row>
    <row r="73" spans="1:8" ht="28" x14ac:dyDescent="0.15">
      <c r="A73">
        <v>465631533</v>
      </c>
      <c r="B73" t="s">
        <v>8</v>
      </c>
      <c r="C73">
        <v>20250916</v>
      </c>
      <c r="D73">
        <v>20250916</v>
      </c>
      <c r="E73" s="6">
        <v>682.28</v>
      </c>
      <c r="F73" s="6">
        <v>664.01</v>
      </c>
      <c r="G73" s="6">
        <v>-18.27</v>
      </c>
      <c r="H73" s="3" t="s">
        <v>61</v>
      </c>
    </row>
    <row r="74" spans="1:8" ht="28" x14ac:dyDescent="0.15">
      <c r="A74">
        <v>465631533</v>
      </c>
      <c r="B74" t="s">
        <v>8</v>
      </c>
      <c r="C74">
        <v>20250916</v>
      </c>
      <c r="D74">
        <v>20250916</v>
      </c>
      <c r="E74" s="6">
        <v>664.01</v>
      </c>
      <c r="F74" s="6">
        <v>635.87</v>
      </c>
      <c r="G74" s="6">
        <v>-28.14</v>
      </c>
      <c r="H74" s="3" t="s">
        <v>62</v>
      </c>
    </row>
    <row r="75" spans="1:8" ht="28" x14ac:dyDescent="0.15">
      <c r="A75">
        <v>465631533</v>
      </c>
      <c r="B75" t="s">
        <v>8</v>
      </c>
      <c r="C75">
        <v>20250916</v>
      </c>
      <c r="D75">
        <v>20250916</v>
      </c>
      <c r="E75" s="6">
        <v>635.87</v>
      </c>
      <c r="F75" s="6">
        <v>591.74</v>
      </c>
      <c r="G75" s="6">
        <v>-44.13</v>
      </c>
      <c r="H75" s="3" t="s">
        <v>63</v>
      </c>
    </row>
    <row r="76" spans="1:8" ht="56" x14ac:dyDescent="0.15">
      <c r="A76">
        <v>465631533</v>
      </c>
      <c r="B76" t="s">
        <v>8</v>
      </c>
      <c r="C76">
        <v>20250917</v>
      </c>
      <c r="D76">
        <v>20250917</v>
      </c>
      <c r="E76" s="6">
        <v>591.74</v>
      </c>
      <c r="F76" s="6">
        <v>577.29</v>
      </c>
      <c r="G76" s="6">
        <v>-14.45</v>
      </c>
      <c r="H76" s="3" t="s">
        <v>64</v>
      </c>
    </row>
    <row r="77" spans="1:8" ht="56" x14ac:dyDescent="0.15">
      <c r="A77">
        <v>465631533</v>
      </c>
      <c r="B77" t="s">
        <v>8</v>
      </c>
      <c r="C77">
        <v>20250917</v>
      </c>
      <c r="D77">
        <v>20250917</v>
      </c>
      <c r="E77" s="6">
        <v>577.29</v>
      </c>
      <c r="F77" s="6">
        <v>538.29</v>
      </c>
      <c r="G77" s="6">
        <v>-39</v>
      </c>
      <c r="H77" s="3" t="s">
        <v>65</v>
      </c>
    </row>
    <row r="78" spans="1:8" ht="28" x14ac:dyDescent="0.15">
      <c r="A78">
        <v>465631533</v>
      </c>
      <c r="B78" t="s">
        <v>8</v>
      </c>
      <c r="C78">
        <v>20250917</v>
      </c>
      <c r="D78">
        <v>20250917</v>
      </c>
      <c r="E78" s="6">
        <v>538.29</v>
      </c>
      <c r="F78" s="6">
        <v>412.96</v>
      </c>
      <c r="G78" s="6">
        <v>-125.33</v>
      </c>
      <c r="H78" s="3" t="s">
        <v>66</v>
      </c>
    </row>
    <row r="79" spans="1:8" ht="28" x14ac:dyDescent="0.15">
      <c r="A79">
        <v>465631533</v>
      </c>
      <c r="B79" t="s">
        <v>8</v>
      </c>
      <c r="C79">
        <v>20250917</v>
      </c>
      <c r="D79">
        <v>20250917</v>
      </c>
      <c r="E79" s="6">
        <v>412.96</v>
      </c>
      <c r="F79" s="6">
        <v>301.45999999999998</v>
      </c>
      <c r="G79" s="6">
        <v>-111.5</v>
      </c>
      <c r="H79" s="3" t="s">
        <v>67</v>
      </c>
    </row>
    <row r="80" spans="1:8" ht="28" x14ac:dyDescent="0.15">
      <c r="A80">
        <v>465631533</v>
      </c>
      <c r="B80" t="s">
        <v>8</v>
      </c>
      <c r="C80">
        <v>20250917</v>
      </c>
      <c r="D80">
        <v>20250917</v>
      </c>
      <c r="E80" s="6">
        <v>301.45999999999998</v>
      </c>
      <c r="F80" s="6">
        <v>249.53</v>
      </c>
      <c r="G80" s="6">
        <v>-51.93</v>
      </c>
      <c r="H80" s="3" t="s">
        <v>68</v>
      </c>
    </row>
    <row r="81" spans="1:8" ht="28" x14ac:dyDescent="0.15">
      <c r="A81">
        <v>465631533</v>
      </c>
      <c r="B81" t="s">
        <v>8</v>
      </c>
      <c r="C81">
        <v>20250917</v>
      </c>
      <c r="D81">
        <v>20250917</v>
      </c>
      <c r="E81" s="6">
        <v>249.53</v>
      </c>
      <c r="F81" s="6">
        <v>239.93</v>
      </c>
      <c r="G81" s="6">
        <v>-9.6</v>
      </c>
      <c r="H81" s="3" t="s">
        <v>69</v>
      </c>
    </row>
    <row r="82" spans="1:8" ht="56" x14ac:dyDescent="0.15">
      <c r="A82">
        <v>465631533</v>
      </c>
      <c r="B82" t="s">
        <v>8</v>
      </c>
      <c r="C82">
        <v>20250917</v>
      </c>
      <c r="D82">
        <v>20250917</v>
      </c>
      <c r="E82" s="6">
        <v>239.93</v>
      </c>
      <c r="F82" s="6">
        <v>203.53</v>
      </c>
      <c r="G82" s="6">
        <v>-36.4</v>
      </c>
      <c r="H82" s="3" t="s">
        <v>70</v>
      </c>
    </row>
    <row r="83" spans="1:8" ht="28" x14ac:dyDescent="0.15">
      <c r="A83">
        <v>465631533</v>
      </c>
      <c r="B83" t="s">
        <v>8</v>
      </c>
      <c r="C83">
        <v>20250918</v>
      </c>
      <c r="D83">
        <v>20250918</v>
      </c>
      <c r="E83" s="6">
        <v>203.53</v>
      </c>
      <c r="F83" s="6">
        <v>193.54</v>
      </c>
      <c r="G83" s="6">
        <v>-9.99</v>
      </c>
      <c r="H83" s="3" t="s">
        <v>71</v>
      </c>
    </row>
    <row r="84" spans="1:8" ht="28" x14ac:dyDescent="0.15">
      <c r="A84">
        <v>465631533</v>
      </c>
      <c r="B84" t="s">
        <v>8</v>
      </c>
      <c r="C84">
        <v>20250918</v>
      </c>
      <c r="D84">
        <v>20250918</v>
      </c>
      <c r="E84" s="6">
        <v>193.54</v>
      </c>
      <c r="F84" s="6">
        <v>178.54</v>
      </c>
      <c r="G84" s="6">
        <v>-15</v>
      </c>
      <c r="H84" s="3" t="s">
        <v>72</v>
      </c>
    </row>
    <row r="85" spans="1:8" ht="42" x14ac:dyDescent="0.15">
      <c r="A85">
        <v>465631533</v>
      </c>
      <c r="B85" t="s">
        <v>8</v>
      </c>
      <c r="C85">
        <v>20250918</v>
      </c>
      <c r="D85">
        <v>20250918</v>
      </c>
      <c r="E85" s="6">
        <v>178.54</v>
      </c>
      <c r="F85" s="6">
        <v>51.54</v>
      </c>
      <c r="G85" s="6">
        <v>-127</v>
      </c>
      <c r="H85" s="3" t="s">
        <v>73</v>
      </c>
    </row>
    <row r="86" spans="1:8" ht="56" x14ac:dyDescent="0.15">
      <c r="A86">
        <v>465631533</v>
      </c>
      <c r="B86" t="s">
        <v>8</v>
      </c>
      <c r="C86">
        <v>20250919</v>
      </c>
      <c r="D86">
        <v>20250919</v>
      </c>
      <c r="E86" s="6">
        <v>51.54</v>
      </c>
      <c r="F86" s="6">
        <v>36.44</v>
      </c>
      <c r="G86" s="6">
        <v>-15.1</v>
      </c>
      <c r="H86" s="3" t="s">
        <v>74</v>
      </c>
    </row>
    <row r="87" spans="1:8" ht="28" x14ac:dyDescent="0.15">
      <c r="A87">
        <v>465631533</v>
      </c>
      <c r="B87" t="s">
        <v>8</v>
      </c>
      <c r="C87">
        <v>20250919</v>
      </c>
      <c r="D87">
        <v>20250919</v>
      </c>
      <c r="E87" s="6">
        <v>36.44</v>
      </c>
      <c r="F87" s="6">
        <v>327.84</v>
      </c>
      <c r="G87" s="6">
        <v>291.39999999999998</v>
      </c>
      <c r="H87" s="3" t="s">
        <v>22</v>
      </c>
    </row>
    <row r="88" spans="1:8" ht="56" x14ac:dyDescent="0.15">
      <c r="A88">
        <v>465631533</v>
      </c>
      <c r="B88" t="s">
        <v>8</v>
      </c>
      <c r="C88">
        <v>20250919</v>
      </c>
      <c r="D88">
        <v>20250919</v>
      </c>
      <c r="E88" s="6">
        <v>327.84</v>
      </c>
      <c r="F88" s="6">
        <v>254.95</v>
      </c>
      <c r="G88" s="6">
        <v>-72.89</v>
      </c>
      <c r="H88" s="3" t="s">
        <v>75</v>
      </c>
    </row>
    <row r="89" spans="1:8" ht="28" x14ac:dyDescent="0.15">
      <c r="A89">
        <v>465631533</v>
      </c>
      <c r="B89" t="s">
        <v>8</v>
      </c>
      <c r="C89">
        <v>20250921</v>
      </c>
      <c r="D89">
        <v>20250921</v>
      </c>
      <c r="E89" s="6">
        <v>254.95</v>
      </c>
      <c r="F89" s="6">
        <v>238.95</v>
      </c>
      <c r="G89" s="6">
        <v>-16</v>
      </c>
      <c r="H89" s="3" t="s">
        <v>76</v>
      </c>
    </row>
    <row r="90" spans="1:8" ht="28" x14ac:dyDescent="0.15">
      <c r="A90">
        <v>465631533</v>
      </c>
      <c r="B90" t="s">
        <v>8</v>
      </c>
      <c r="C90">
        <v>20250921</v>
      </c>
      <c r="D90">
        <v>20250921</v>
      </c>
      <c r="E90" s="6">
        <v>238.95</v>
      </c>
      <c r="F90" s="6">
        <v>216.45</v>
      </c>
      <c r="G90" s="6">
        <v>-22.5</v>
      </c>
      <c r="H90" s="3" t="s">
        <v>77</v>
      </c>
    </row>
    <row r="91" spans="1:8" ht="28" x14ac:dyDescent="0.15">
      <c r="A91">
        <v>465631533</v>
      </c>
      <c r="B91" t="s">
        <v>8</v>
      </c>
      <c r="C91">
        <v>20250921</v>
      </c>
      <c r="D91">
        <v>20250921</v>
      </c>
      <c r="E91" s="6">
        <v>216.45</v>
      </c>
      <c r="F91" s="6">
        <v>213.45</v>
      </c>
      <c r="G91" s="6">
        <v>-3</v>
      </c>
      <c r="H91" s="3" t="s">
        <v>78</v>
      </c>
    </row>
    <row r="92" spans="1:8" ht="28" x14ac:dyDescent="0.15">
      <c r="A92">
        <v>465631533</v>
      </c>
      <c r="B92" t="s">
        <v>8</v>
      </c>
      <c r="C92">
        <v>20250921</v>
      </c>
      <c r="D92">
        <v>20250921</v>
      </c>
      <c r="E92" s="6">
        <v>213.45</v>
      </c>
      <c r="F92" s="6">
        <v>202.75</v>
      </c>
      <c r="G92" s="6">
        <v>-10.7</v>
      </c>
      <c r="H92" s="3" t="s">
        <v>79</v>
      </c>
    </row>
    <row r="93" spans="1:8" ht="28" x14ac:dyDescent="0.15">
      <c r="A93">
        <v>465631533</v>
      </c>
      <c r="B93" t="s">
        <v>8</v>
      </c>
      <c r="C93">
        <v>20250921</v>
      </c>
      <c r="D93">
        <v>20250921</v>
      </c>
      <c r="E93" s="6">
        <v>202.75</v>
      </c>
      <c r="F93" s="6">
        <v>171.75</v>
      </c>
      <c r="G93" s="6">
        <v>-31</v>
      </c>
      <c r="H93" s="3" t="s">
        <v>80</v>
      </c>
    </row>
    <row r="94" spans="1:8" ht="28" x14ac:dyDescent="0.15">
      <c r="A94">
        <v>465631533</v>
      </c>
      <c r="B94" t="s">
        <v>8</v>
      </c>
      <c r="C94">
        <v>20250921</v>
      </c>
      <c r="D94">
        <v>20250921</v>
      </c>
      <c r="E94" s="6">
        <v>171.75</v>
      </c>
      <c r="F94" s="6">
        <v>131.80000000000001</v>
      </c>
      <c r="G94" s="6">
        <v>-39.950000000000003</v>
      </c>
      <c r="H94" s="3" t="s">
        <v>81</v>
      </c>
    </row>
    <row r="95" spans="1:8" ht="28" x14ac:dyDescent="0.15">
      <c r="A95">
        <v>465631533</v>
      </c>
      <c r="B95" t="s">
        <v>8</v>
      </c>
      <c r="C95">
        <v>20250921</v>
      </c>
      <c r="D95">
        <v>20250921</v>
      </c>
      <c r="E95" s="6">
        <v>131.80000000000001</v>
      </c>
      <c r="F95" s="6">
        <v>124.3</v>
      </c>
      <c r="G95" s="6">
        <v>-7.5</v>
      </c>
      <c r="H95" s="3" t="s">
        <v>82</v>
      </c>
    </row>
    <row r="96" spans="1:8" ht="28" x14ac:dyDescent="0.15">
      <c r="A96">
        <v>465631533</v>
      </c>
      <c r="B96" t="s">
        <v>8</v>
      </c>
      <c r="C96">
        <v>20250922</v>
      </c>
      <c r="D96">
        <v>20250922</v>
      </c>
      <c r="E96" s="6">
        <v>124.3</v>
      </c>
      <c r="F96" s="6">
        <v>110.65</v>
      </c>
      <c r="G96" s="6">
        <v>-13.65</v>
      </c>
      <c r="H96" s="3" t="s">
        <v>83</v>
      </c>
    </row>
    <row r="97" spans="1:8" ht="42" x14ac:dyDescent="0.15">
      <c r="A97">
        <v>465631533</v>
      </c>
      <c r="B97" t="s">
        <v>8</v>
      </c>
      <c r="C97">
        <v>20250924</v>
      </c>
      <c r="D97">
        <v>20250924</v>
      </c>
      <c r="E97" s="6">
        <v>110.65</v>
      </c>
      <c r="F97" s="6">
        <v>6471.08</v>
      </c>
      <c r="G97" s="6">
        <v>6360.43</v>
      </c>
      <c r="H97" s="3" t="s">
        <v>84</v>
      </c>
    </row>
    <row r="98" spans="1:8" ht="56" x14ac:dyDescent="0.15">
      <c r="A98">
        <v>465631533</v>
      </c>
      <c r="B98" t="s">
        <v>8</v>
      </c>
      <c r="C98">
        <v>20250924</v>
      </c>
      <c r="D98">
        <v>20250924</v>
      </c>
      <c r="E98" s="6">
        <v>6471.08</v>
      </c>
      <c r="F98" s="6">
        <v>6381.76</v>
      </c>
      <c r="G98" s="6">
        <v>-89.32</v>
      </c>
      <c r="H98" s="3" t="s">
        <v>85</v>
      </c>
    </row>
    <row r="99" spans="1:8" ht="56" x14ac:dyDescent="0.15">
      <c r="A99">
        <v>465631533</v>
      </c>
      <c r="B99" t="s">
        <v>8</v>
      </c>
      <c r="C99">
        <v>20250924</v>
      </c>
      <c r="D99">
        <v>20250924</v>
      </c>
      <c r="E99" s="6">
        <v>6381.76</v>
      </c>
      <c r="F99" s="6">
        <v>6328.06</v>
      </c>
      <c r="G99" s="6">
        <v>-53.7</v>
      </c>
      <c r="H99" s="3" t="s">
        <v>86</v>
      </c>
    </row>
    <row r="100" spans="1:8" ht="42" x14ac:dyDescent="0.15">
      <c r="A100">
        <v>465631533</v>
      </c>
      <c r="B100" t="s">
        <v>8</v>
      </c>
      <c r="C100">
        <v>20250924</v>
      </c>
      <c r="D100">
        <v>20250924</v>
      </c>
      <c r="E100" s="6">
        <v>6328.06</v>
      </c>
      <c r="F100" s="6">
        <v>6237.06</v>
      </c>
      <c r="G100" s="6">
        <v>-91</v>
      </c>
      <c r="H100" s="3" t="s">
        <v>87</v>
      </c>
    </row>
    <row r="101" spans="1:8" ht="56" x14ac:dyDescent="0.15">
      <c r="A101">
        <v>465631533</v>
      </c>
      <c r="B101" t="s">
        <v>8</v>
      </c>
      <c r="C101">
        <v>20250924</v>
      </c>
      <c r="D101">
        <v>20250924</v>
      </c>
      <c r="E101" s="6">
        <v>6237.06</v>
      </c>
      <c r="F101" s="6">
        <v>6228.06</v>
      </c>
      <c r="G101" s="6">
        <v>-9</v>
      </c>
      <c r="H101" s="3" t="s">
        <v>88</v>
      </c>
    </row>
    <row r="102" spans="1:8" ht="28" x14ac:dyDescent="0.15">
      <c r="A102">
        <v>465631533</v>
      </c>
      <c r="B102" t="s">
        <v>8</v>
      </c>
      <c r="C102">
        <v>20250924</v>
      </c>
      <c r="D102">
        <v>20250924</v>
      </c>
      <c r="E102" s="6">
        <v>6228.06</v>
      </c>
      <c r="F102" s="6">
        <v>6179.91</v>
      </c>
      <c r="G102" s="6">
        <v>-48.15</v>
      </c>
      <c r="H102" s="3" t="s">
        <v>89</v>
      </c>
    </row>
    <row r="103" spans="1:8" ht="28" x14ac:dyDescent="0.15">
      <c r="A103">
        <v>465631533</v>
      </c>
      <c r="B103" t="s">
        <v>8</v>
      </c>
      <c r="C103">
        <v>20250924</v>
      </c>
      <c r="D103">
        <v>20250924</v>
      </c>
      <c r="E103" s="6">
        <v>6179.91</v>
      </c>
      <c r="F103" s="6">
        <v>6170.91</v>
      </c>
      <c r="G103" s="6">
        <v>-9</v>
      </c>
      <c r="H103" s="3" t="s">
        <v>90</v>
      </c>
    </row>
    <row r="104" spans="1:8" ht="28" x14ac:dyDescent="0.15">
      <c r="A104">
        <v>465631533</v>
      </c>
      <c r="B104" t="s">
        <v>8</v>
      </c>
      <c r="C104">
        <v>20250924</v>
      </c>
      <c r="D104">
        <v>20250924</v>
      </c>
      <c r="E104" s="6">
        <v>6170.91</v>
      </c>
      <c r="F104" s="6">
        <v>6154.96</v>
      </c>
      <c r="G104" s="6">
        <v>-15.95</v>
      </c>
      <c r="H104" s="3" t="s">
        <v>91</v>
      </c>
    </row>
    <row r="105" spans="1:8" ht="28" x14ac:dyDescent="0.15">
      <c r="A105">
        <v>465631533</v>
      </c>
      <c r="B105" t="s">
        <v>8</v>
      </c>
      <c r="C105">
        <v>20250924</v>
      </c>
      <c r="D105">
        <v>20250924</v>
      </c>
      <c r="E105" s="6">
        <v>6154.96</v>
      </c>
      <c r="F105" s="6">
        <v>6152.56</v>
      </c>
      <c r="G105" s="6">
        <v>-2.4</v>
      </c>
      <c r="H105" s="3" t="s">
        <v>92</v>
      </c>
    </row>
    <row r="106" spans="1:8" ht="56" x14ac:dyDescent="0.15">
      <c r="A106">
        <v>465631533</v>
      </c>
      <c r="B106" t="s">
        <v>8</v>
      </c>
      <c r="C106">
        <v>20250925</v>
      </c>
      <c r="D106">
        <v>20250925</v>
      </c>
      <c r="E106" s="6">
        <v>6152.56</v>
      </c>
      <c r="F106" s="6">
        <v>6137.06</v>
      </c>
      <c r="G106" s="6">
        <v>-15.5</v>
      </c>
      <c r="H106" s="3" t="s">
        <v>93</v>
      </c>
    </row>
    <row r="107" spans="1:8" ht="56" x14ac:dyDescent="0.15">
      <c r="A107">
        <v>465631533</v>
      </c>
      <c r="B107" t="s">
        <v>8</v>
      </c>
      <c r="C107">
        <v>20250925</v>
      </c>
      <c r="D107">
        <v>20250925</v>
      </c>
      <c r="E107" s="6">
        <v>6137.06</v>
      </c>
      <c r="F107" s="6">
        <v>5686.31</v>
      </c>
      <c r="G107" s="6">
        <v>-450.75</v>
      </c>
      <c r="H107" s="3" t="s">
        <v>94</v>
      </c>
    </row>
    <row r="108" spans="1:8" ht="56" x14ac:dyDescent="0.15">
      <c r="A108">
        <v>465631533</v>
      </c>
      <c r="B108" t="s">
        <v>8</v>
      </c>
      <c r="C108">
        <v>20250925</v>
      </c>
      <c r="D108">
        <v>20250925</v>
      </c>
      <c r="E108" s="6">
        <v>5686.31</v>
      </c>
      <c r="F108" s="6">
        <v>5492.91</v>
      </c>
      <c r="G108" s="6">
        <v>-193.4</v>
      </c>
      <c r="H108" s="3" t="s">
        <v>95</v>
      </c>
    </row>
    <row r="109" spans="1:8" ht="56" x14ac:dyDescent="0.15">
      <c r="A109">
        <v>465631533</v>
      </c>
      <c r="B109" t="s">
        <v>8</v>
      </c>
      <c r="C109">
        <v>20250925</v>
      </c>
      <c r="D109">
        <v>20250925</v>
      </c>
      <c r="E109" s="6">
        <v>5492.91</v>
      </c>
      <c r="F109" s="6">
        <v>5482.96</v>
      </c>
      <c r="G109" s="6">
        <v>-9.9499999999999993</v>
      </c>
      <c r="H109" s="3" t="s">
        <v>96</v>
      </c>
    </row>
    <row r="110" spans="1:8" ht="42" x14ac:dyDescent="0.15">
      <c r="A110">
        <v>465631533</v>
      </c>
      <c r="B110" t="s">
        <v>8</v>
      </c>
      <c r="C110">
        <v>20250925</v>
      </c>
      <c r="D110">
        <v>20250925</v>
      </c>
      <c r="E110" s="6">
        <v>5482.96</v>
      </c>
      <c r="F110" s="6">
        <v>5474.01</v>
      </c>
      <c r="G110" s="6">
        <v>-8.9499999999999993</v>
      </c>
      <c r="H110" s="3" t="s">
        <v>97</v>
      </c>
    </row>
    <row r="111" spans="1:8" ht="42" x14ac:dyDescent="0.15">
      <c r="A111">
        <v>465631533</v>
      </c>
      <c r="B111" t="s">
        <v>8</v>
      </c>
      <c r="C111">
        <v>20250925</v>
      </c>
      <c r="D111">
        <v>20250925</v>
      </c>
      <c r="E111" s="6">
        <v>5474.01</v>
      </c>
      <c r="F111" s="6">
        <v>5412.26</v>
      </c>
      <c r="G111" s="6">
        <v>-61.75</v>
      </c>
      <c r="H111" s="3" t="s">
        <v>98</v>
      </c>
    </row>
    <row r="112" spans="1:8" ht="56" x14ac:dyDescent="0.15">
      <c r="A112">
        <v>465631533</v>
      </c>
      <c r="B112" t="s">
        <v>8</v>
      </c>
      <c r="C112">
        <v>20250925</v>
      </c>
      <c r="D112">
        <v>20250925</v>
      </c>
      <c r="E112" s="6">
        <v>5412.26</v>
      </c>
      <c r="F112" s="6">
        <v>5382.26</v>
      </c>
      <c r="G112" s="6">
        <v>-30</v>
      </c>
      <c r="H112" s="3" t="s">
        <v>99</v>
      </c>
    </row>
    <row r="113" spans="1:8" ht="28" x14ac:dyDescent="0.15">
      <c r="A113">
        <v>465631533</v>
      </c>
      <c r="B113" t="s">
        <v>8</v>
      </c>
      <c r="C113">
        <v>20250925</v>
      </c>
      <c r="D113">
        <v>20250925</v>
      </c>
      <c r="E113" s="6">
        <v>5382.26</v>
      </c>
      <c r="F113" s="6">
        <v>5288.63</v>
      </c>
      <c r="G113" s="6">
        <v>-93.63</v>
      </c>
      <c r="H113" s="3" t="s">
        <v>100</v>
      </c>
    </row>
    <row r="114" spans="1:8" ht="42" x14ac:dyDescent="0.15">
      <c r="A114">
        <v>465631533</v>
      </c>
      <c r="B114" t="s">
        <v>8</v>
      </c>
      <c r="C114">
        <v>20250925</v>
      </c>
      <c r="D114">
        <v>20250925</v>
      </c>
      <c r="E114" s="6">
        <v>5288.63</v>
      </c>
      <c r="F114" s="6">
        <v>5133.7299999999996</v>
      </c>
      <c r="G114" s="6">
        <v>-154.9</v>
      </c>
      <c r="H114" s="3" t="s">
        <v>101</v>
      </c>
    </row>
    <row r="115" spans="1:8" ht="28" x14ac:dyDescent="0.15">
      <c r="A115">
        <v>465631533</v>
      </c>
      <c r="B115" t="s">
        <v>8</v>
      </c>
      <c r="C115">
        <v>20250925</v>
      </c>
      <c r="D115">
        <v>20250925</v>
      </c>
      <c r="E115" s="6">
        <v>5133.7299999999996</v>
      </c>
      <c r="F115" s="6">
        <v>5120.53</v>
      </c>
      <c r="G115" s="6">
        <v>-13.2</v>
      </c>
      <c r="H115" s="3" t="s">
        <v>102</v>
      </c>
    </row>
    <row r="116" spans="1:8" ht="28" x14ac:dyDescent="0.15">
      <c r="A116">
        <v>465631533</v>
      </c>
      <c r="B116" t="s">
        <v>8</v>
      </c>
      <c r="C116">
        <v>20250925</v>
      </c>
      <c r="D116">
        <v>20250925</v>
      </c>
      <c r="E116" s="6">
        <v>5120.53</v>
      </c>
      <c r="F116" s="6">
        <v>5101.2299999999996</v>
      </c>
      <c r="G116" s="6">
        <v>-19.3</v>
      </c>
      <c r="H116" s="3" t="s">
        <v>103</v>
      </c>
    </row>
    <row r="117" spans="1:8" ht="56" x14ac:dyDescent="0.15">
      <c r="A117">
        <v>465631533</v>
      </c>
      <c r="B117" t="s">
        <v>8</v>
      </c>
      <c r="C117">
        <v>20250926</v>
      </c>
      <c r="D117">
        <v>20250926</v>
      </c>
      <c r="E117" s="6">
        <v>5101.2299999999996</v>
      </c>
      <c r="F117" s="6">
        <v>3488.81</v>
      </c>
      <c r="G117" s="6">
        <v>-1612.42</v>
      </c>
      <c r="H117" s="3" t="s">
        <v>104</v>
      </c>
    </row>
    <row r="118" spans="1:8" ht="56" x14ac:dyDescent="0.15">
      <c r="A118">
        <v>465631533</v>
      </c>
      <c r="B118" t="s">
        <v>8</v>
      </c>
      <c r="C118">
        <v>20250926</v>
      </c>
      <c r="D118">
        <v>20250926</v>
      </c>
      <c r="E118" s="6">
        <v>3488.81</v>
      </c>
      <c r="F118" s="6">
        <v>3446.78</v>
      </c>
      <c r="G118" s="6">
        <v>-42.03</v>
      </c>
      <c r="H118" s="3" t="s">
        <v>105</v>
      </c>
    </row>
    <row r="119" spans="1:8" ht="28" x14ac:dyDescent="0.15">
      <c r="A119">
        <v>465631533</v>
      </c>
      <c r="B119" t="s">
        <v>8</v>
      </c>
      <c r="C119">
        <v>20250926</v>
      </c>
      <c r="D119">
        <v>20250926</v>
      </c>
      <c r="E119" s="6">
        <v>3446.78</v>
      </c>
      <c r="F119" s="6">
        <v>3411.78</v>
      </c>
      <c r="G119" s="6">
        <v>-35</v>
      </c>
      <c r="H119" s="3" t="s">
        <v>106</v>
      </c>
    </row>
    <row r="120" spans="1:8" ht="28" x14ac:dyDescent="0.15">
      <c r="A120">
        <v>465631533</v>
      </c>
      <c r="B120" t="s">
        <v>8</v>
      </c>
      <c r="C120">
        <v>20250926</v>
      </c>
      <c r="D120">
        <v>20250926</v>
      </c>
      <c r="E120" s="6">
        <v>3411.78</v>
      </c>
      <c r="F120" s="6">
        <v>3375.13</v>
      </c>
      <c r="G120" s="6">
        <v>-36.65</v>
      </c>
      <c r="H120" s="3" t="s">
        <v>107</v>
      </c>
    </row>
    <row r="121" spans="1:8" ht="28" x14ac:dyDescent="0.15">
      <c r="A121">
        <v>465631533</v>
      </c>
      <c r="B121" t="s">
        <v>8</v>
      </c>
      <c r="C121">
        <v>20250926</v>
      </c>
      <c r="D121">
        <v>20250926</v>
      </c>
      <c r="E121" s="6">
        <v>3375.13</v>
      </c>
      <c r="F121" s="6">
        <v>3367.63</v>
      </c>
      <c r="G121" s="6">
        <v>-7.5</v>
      </c>
      <c r="H121" s="3" t="s">
        <v>108</v>
      </c>
    </row>
    <row r="122" spans="1:8" ht="28" x14ac:dyDescent="0.15">
      <c r="A122">
        <v>465631533</v>
      </c>
      <c r="B122" t="s">
        <v>8</v>
      </c>
      <c r="C122">
        <v>20250926</v>
      </c>
      <c r="D122">
        <v>20250926</v>
      </c>
      <c r="E122" s="6">
        <v>3367.63</v>
      </c>
      <c r="F122" s="6">
        <v>3334.88</v>
      </c>
      <c r="G122" s="6">
        <v>-32.75</v>
      </c>
      <c r="H122" s="3" t="s">
        <v>109</v>
      </c>
    </row>
    <row r="123" spans="1:8" ht="28" x14ac:dyDescent="0.15">
      <c r="A123">
        <v>465631533</v>
      </c>
      <c r="B123" t="s">
        <v>8</v>
      </c>
      <c r="C123">
        <v>20250927</v>
      </c>
      <c r="D123">
        <v>20250927</v>
      </c>
      <c r="E123" s="6">
        <v>3334.88</v>
      </c>
      <c r="F123" s="6">
        <v>3255.43</v>
      </c>
      <c r="G123" s="6">
        <v>-79.45</v>
      </c>
      <c r="H123" s="3" t="s">
        <v>110</v>
      </c>
    </row>
    <row r="124" spans="1:8" ht="42" x14ac:dyDescent="0.15">
      <c r="A124">
        <v>465631533</v>
      </c>
      <c r="B124" t="s">
        <v>8</v>
      </c>
      <c r="C124">
        <v>20250928</v>
      </c>
      <c r="D124">
        <v>20250928</v>
      </c>
      <c r="E124" s="6">
        <v>3255.43</v>
      </c>
      <c r="F124" s="6">
        <v>3111.43</v>
      </c>
      <c r="G124" s="6">
        <v>-144</v>
      </c>
      <c r="H124" s="3" t="s">
        <v>111</v>
      </c>
    </row>
    <row r="125" spans="1:8" ht="28" x14ac:dyDescent="0.15">
      <c r="A125">
        <v>465631533</v>
      </c>
      <c r="B125" t="s">
        <v>8</v>
      </c>
      <c r="C125">
        <v>20250928</v>
      </c>
      <c r="D125">
        <v>20250928</v>
      </c>
      <c r="E125" s="6">
        <v>3111.43</v>
      </c>
      <c r="F125" s="6">
        <v>4111.43</v>
      </c>
      <c r="G125" s="6">
        <v>1000</v>
      </c>
      <c r="H125" s="3" t="s">
        <v>22</v>
      </c>
    </row>
    <row r="126" spans="1:8" ht="28" x14ac:dyDescent="0.15">
      <c r="A126">
        <v>465631533</v>
      </c>
      <c r="B126" t="s">
        <v>8</v>
      </c>
      <c r="C126">
        <v>20250928</v>
      </c>
      <c r="D126">
        <v>20250928</v>
      </c>
      <c r="E126" s="6">
        <v>4111.43</v>
      </c>
      <c r="F126" s="6">
        <v>4053.47</v>
      </c>
      <c r="G126" s="6">
        <v>-57.96</v>
      </c>
      <c r="H126" s="3" t="s">
        <v>112</v>
      </c>
    </row>
    <row r="127" spans="1:8" ht="28" x14ac:dyDescent="0.15">
      <c r="A127">
        <v>465631533</v>
      </c>
      <c r="B127" t="s">
        <v>8</v>
      </c>
      <c r="C127">
        <v>20250928</v>
      </c>
      <c r="D127">
        <v>20250928</v>
      </c>
      <c r="E127" s="6">
        <v>4053.47</v>
      </c>
      <c r="F127" s="6">
        <v>3864.39</v>
      </c>
      <c r="G127" s="6">
        <v>-189.08</v>
      </c>
      <c r="H127" s="3" t="s">
        <v>113</v>
      </c>
    </row>
    <row r="128" spans="1:8" ht="56" x14ac:dyDescent="0.15">
      <c r="A128">
        <v>465631533</v>
      </c>
      <c r="B128" t="s">
        <v>8</v>
      </c>
      <c r="C128">
        <v>20250929</v>
      </c>
      <c r="D128">
        <v>20250929</v>
      </c>
      <c r="E128" s="6">
        <v>3864.39</v>
      </c>
      <c r="F128" s="6">
        <v>3848.89</v>
      </c>
      <c r="G128" s="6">
        <v>-15.5</v>
      </c>
      <c r="H128" s="3" t="s">
        <v>114</v>
      </c>
    </row>
    <row r="129" spans="1:8" ht="56" x14ac:dyDescent="0.15">
      <c r="A129">
        <v>465631533</v>
      </c>
      <c r="B129" t="s">
        <v>8</v>
      </c>
      <c r="C129">
        <v>20250929</v>
      </c>
      <c r="D129">
        <v>20250929</v>
      </c>
      <c r="E129" s="6">
        <v>3848.89</v>
      </c>
      <c r="F129" s="6">
        <v>3834.89</v>
      </c>
      <c r="G129" s="6">
        <v>-14</v>
      </c>
      <c r="H129" s="3" t="s">
        <v>115</v>
      </c>
    </row>
    <row r="130" spans="1:8" ht="56" x14ac:dyDescent="0.15">
      <c r="A130">
        <v>465631533</v>
      </c>
      <c r="B130" t="s">
        <v>8</v>
      </c>
      <c r="C130">
        <v>20250929</v>
      </c>
      <c r="D130">
        <v>20250929</v>
      </c>
      <c r="E130" s="6">
        <v>3834.89</v>
      </c>
      <c r="F130" s="6">
        <v>3711.6</v>
      </c>
      <c r="G130" s="6">
        <v>-123.29</v>
      </c>
      <c r="H130" s="3" t="s">
        <v>116</v>
      </c>
    </row>
    <row r="131" spans="1:8" ht="56" x14ac:dyDescent="0.15">
      <c r="A131">
        <v>465631533</v>
      </c>
      <c r="B131" t="s">
        <v>8</v>
      </c>
      <c r="C131">
        <v>20250929</v>
      </c>
      <c r="D131">
        <v>20250929</v>
      </c>
      <c r="E131" s="6">
        <v>3711.6</v>
      </c>
      <c r="F131" s="6">
        <v>3679.6</v>
      </c>
      <c r="G131" s="6">
        <v>-32</v>
      </c>
      <c r="H131" s="3" t="s">
        <v>117</v>
      </c>
    </row>
    <row r="132" spans="1:8" ht="56" x14ac:dyDescent="0.15">
      <c r="A132">
        <v>465631533</v>
      </c>
      <c r="B132" t="s">
        <v>8</v>
      </c>
      <c r="C132">
        <v>20250929</v>
      </c>
      <c r="D132">
        <v>20250929</v>
      </c>
      <c r="E132" s="6">
        <v>3679.6</v>
      </c>
      <c r="F132" s="6">
        <v>3522.63</v>
      </c>
      <c r="G132" s="6">
        <v>-156.97</v>
      </c>
      <c r="H132" s="3" t="s">
        <v>118</v>
      </c>
    </row>
    <row r="133" spans="1:8" ht="56" x14ac:dyDescent="0.15">
      <c r="A133">
        <v>465631533</v>
      </c>
      <c r="B133" t="s">
        <v>8</v>
      </c>
      <c r="C133">
        <v>20250929</v>
      </c>
      <c r="D133">
        <v>20250929</v>
      </c>
      <c r="E133" s="6">
        <v>3522.63</v>
      </c>
      <c r="F133" s="6">
        <v>3099.18</v>
      </c>
      <c r="G133" s="6">
        <v>-423.45</v>
      </c>
      <c r="H133" s="3" t="s">
        <v>119</v>
      </c>
    </row>
    <row r="134" spans="1:8" ht="28" x14ac:dyDescent="0.15">
      <c r="A134">
        <v>465631533</v>
      </c>
      <c r="B134" t="s">
        <v>8</v>
      </c>
      <c r="C134">
        <v>20250929</v>
      </c>
      <c r="D134">
        <v>20250929</v>
      </c>
      <c r="E134" s="6">
        <v>3099.18</v>
      </c>
      <c r="F134" s="6">
        <v>4099.18</v>
      </c>
      <c r="G134" s="6">
        <v>1000</v>
      </c>
      <c r="H134" s="3" t="s">
        <v>22</v>
      </c>
    </row>
    <row r="135" spans="1:8" ht="28" x14ac:dyDescent="0.15">
      <c r="A135">
        <v>465631533</v>
      </c>
      <c r="B135" t="s">
        <v>8</v>
      </c>
      <c r="C135">
        <v>20250929</v>
      </c>
      <c r="D135">
        <v>20250929</v>
      </c>
      <c r="E135" s="6">
        <v>4099.18</v>
      </c>
      <c r="F135" s="6">
        <v>3945.63</v>
      </c>
      <c r="G135" s="6">
        <v>-153.55000000000001</v>
      </c>
      <c r="H135" s="3" t="s">
        <v>120</v>
      </c>
    </row>
    <row r="136" spans="1:8" ht="28" x14ac:dyDescent="0.15">
      <c r="A136">
        <v>465631533</v>
      </c>
      <c r="B136" t="s">
        <v>8</v>
      </c>
      <c r="C136">
        <v>20250929</v>
      </c>
      <c r="D136">
        <v>20250929</v>
      </c>
      <c r="E136" s="6">
        <v>3945.63</v>
      </c>
      <c r="F136" s="6">
        <v>3909.33</v>
      </c>
      <c r="G136" s="6">
        <v>-36.299999999999997</v>
      </c>
      <c r="H136" s="3" t="s">
        <v>121</v>
      </c>
    </row>
    <row r="137" spans="1:8" ht="28" x14ac:dyDescent="0.15">
      <c r="A137">
        <v>465631533</v>
      </c>
      <c r="B137" t="s">
        <v>8</v>
      </c>
      <c r="C137">
        <v>20250929</v>
      </c>
      <c r="D137">
        <v>20250929</v>
      </c>
      <c r="E137" s="6">
        <v>3909.33</v>
      </c>
      <c r="F137" s="6">
        <v>3900.73</v>
      </c>
      <c r="G137" s="6">
        <v>-8.6</v>
      </c>
      <c r="H137" s="3" t="s">
        <v>122</v>
      </c>
    </row>
    <row r="138" spans="1:8" ht="56" x14ac:dyDescent="0.15">
      <c r="A138">
        <v>465631533</v>
      </c>
      <c r="B138" t="s">
        <v>8</v>
      </c>
      <c r="C138">
        <v>20250930</v>
      </c>
      <c r="D138">
        <v>20250930</v>
      </c>
      <c r="E138" s="6">
        <v>3900.73</v>
      </c>
      <c r="F138" s="6">
        <v>3780.58</v>
      </c>
      <c r="G138" s="6">
        <v>-120.15</v>
      </c>
      <c r="H138" s="3" t="s">
        <v>123</v>
      </c>
    </row>
    <row r="139" spans="1:8" ht="56" x14ac:dyDescent="0.15">
      <c r="A139">
        <v>465631533</v>
      </c>
      <c r="B139" t="s">
        <v>8</v>
      </c>
      <c r="C139">
        <v>20250930</v>
      </c>
      <c r="D139">
        <v>20250930</v>
      </c>
      <c r="E139" s="6">
        <v>3780.58</v>
      </c>
      <c r="F139" s="6">
        <v>3769.99</v>
      </c>
      <c r="G139" s="6">
        <v>-10.59</v>
      </c>
      <c r="H139" s="3" t="s">
        <v>124</v>
      </c>
    </row>
    <row r="140" spans="1:8" ht="42" x14ac:dyDescent="0.15">
      <c r="A140">
        <v>465631533</v>
      </c>
      <c r="B140" t="s">
        <v>8</v>
      </c>
      <c r="C140">
        <v>20250930</v>
      </c>
      <c r="D140">
        <v>20250930</v>
      </c>
      <c r="E140" s="6">
        <v>3769.99</v>
      </c>
      <c r="F140" s="6">
        <v>3726.04</v>
      </c>
      <c r="G140" s="6">
        <v>-43.95</v>
      </c>
      <c r="H140" s="3" t="s">
        <v>125</v>
      </c>
    </row>
    <row r="141" spans="1:8" ht="56" x14ac:dyDescent="0.15">
      <c r="A141">
        <v>465631533</v>
      </c>
      <c r="B141" t="s">
        <v>8</v>
      </c>
      <c r="C141">
        <v>20250930</v>
      </c>
      <c r="D141">
        <v>20250930</v>
      </c>
      <c r="E141" s="6">
        <v>3726.04</v>
      </c>
      <c r="F141" s="6">
        <v>3677.59</v>
      </c>
      <c r="G141" s="6">
        <v>-48.45</v>
      </c>
      <c r="H141" s="3" t="s">
        <v>126</v>
      </c>
    </row>
    <row r="142" spans="1:8" ht="28" x14ac:dyDescent="0.15">
      <c r="A142">
        <v>465631533</v>
      </c>
      <c r="B142" t="s">
        <v>8</v>
      </c>
      <c r="C142">
        <v>20250930</v>
      </c>
      <c r="D142">
        <v>20250930</v>
      </c>
      <c r="E142" s="6">
        <v>3677.59</v>
      </c>
      <c r="F142" s="6">
        <v>3663.09</v>
      </c>
      <c r="G142" s="6">
        <v>-14.5</v>
      </c>
      <c r="H142" s="3" t="s">
        <v>127</v>
      </c>
    </row>
    <row r="143" spans="1:8" ht="56" x14ac:dyDescent="0.15">
      <c r="A143">
        <v>465631533</v>
      </c>
      <c r="B143" t="s">
        <v>8</v>
      </c>
      <c r="C143">
        <v>20251001</v>
      </c>
      <c r="D143">
        <v>20251001</v>
      </c>
      <c r="E143" s="6">
        <v>3663.09</v>
      </c>
      <c r="F143" s="6">
        <v>290.64</v>
      </c>
      <c r="G143" s="6">
        <v>-3372.45</v>
      </c>
      <c r="H143" s="3" t="s">
        <v>128</v>
      </c>
    </row>
    <row r="144" spans="1:8" ht="56" x14ac:dyDescent="0.15">
      <c r="A144">
        <v>465631533</v>
      </c>
      <c r="B144" t="s">
        <v>8</v>
      </c>
      <c r="C144">
        <v>20251001</v>
      </c>
      <c r="D144">
        <v>20251001</v>
      </c>
      <c r="E144" s="6">
        <v>290.64</v>
      </c>
      <c r="F144" s="6">
        <v>163.84</v>
      </c>
      <c r="G144" s="6">
        <v>-126.8</v>
      </c>
      <c r="H144" s="3" t="s">
        <v>129</v>
      </c>
    </row>
    <row r="145" spans="1:8" ht="56" x14ac:dyDescent="0.15">
      <c r="A145">
        <v>465631533</v>
      </c>
      <c r="B145" t="s">
        <v>8</v>
      </c>
      <c r="C145">
        <v>20251001</v>
      </c>
      <c r="D145">
        <v>20251001</v>
      </c>
      <c r="E145" s="6">
        <v>163.84</v>
      </c>
      <c r="F145" s="6">
        <v>139.84</v>
      </c>
      <c r="G145" s="6">
        <v>-24</v>
      </c>
      <c r="H145" s="3" t="s">
        <v>130</v>
      </c>
    </row>
    <row r="146" spans="1:8" ht="42" x14ac:dyDescent="0.15">
      <c r="A146">
        <v>465631533</v>
      </c>
      <c r="B146" t="s">
        <v>8</v>
      </c>
      <c r="C146">
        <v>20251001</v>
      </c>
      <c r="D146">
        <v>20251001</v>
      </c>
      <c r="E146" s="6">
        <v>139.84</v>
      </c>
      <c r="F146" s="6">
        <v>847.74</v>
      </c>
      <c r="G146" s="6">
        <v>707.9</v>
      </c>
      <c r="H146" s="3" t="s">
        <v>131</v>
      </c>
    </row>
    <row r="147" spans="1:8" ht="28" x14ac:dyDescent="0.15">
      <c r="A147">
        <v>465631533</v>
      </c>
      <c r="B147" t="s">
        <v>8</v>
      </c>
      <c r="C147">
        <v>20251001</v>
      </c>
      <c r="D147">
        <v>20251001</v>
      </c>
      <c r="E147" s="6">
        <v>847.74</v>
      </c>
      <c r="F147" s="6">
        <v>793.45</v>
      </c>
      <c r="G147" s="6">
        <v>-54.29</v>
      </c>
      <c r="H147" s="3" t="s">
        <v>132</v>
      </c>
    </row>
    <row r="148" spans="1:8" ht="28" x14ac:dyDescent="0.15">
      <c r="A148">
        <v>465631533</v>
      </c>
      <c r="B148" t="s">
        <v>8</v>
      </c>
      <c r="C148">
        <v>20251001</v>
      </c>
      <c r="D148">
        <v>20251001</v>
      </c>
      <c r="E148" s="6">
        <v>793.45</v>
      </c>
      <c r="F148" s="6">
        <v>761.62</v>
      </c>
      <c r="G148" s="6">
        <v>-31.83</v>
      </c>
      <c r="H148" s="3" t="s">
        <v>133</v>
      </c>
    </row>
    <row r="149" spans="1:8" ht="56" x14ac:dyDescent="0.15">
      <c r="A149">
        <v>465631533</v>
      </c>
      <c r="B149" t="s">
        <v>8</v>
      </c>
      <c r="C149">
        <v>20251001</v>
      </c>
      <c r="D149">
        <v>20251001</v>
      </c>
      <c r="E149" s="6">
        <v>761.62</v>
      </c>
      <c r="F149" s="6">
        <v>731.67</v>
      </c>
      <c r="G149" s="6">
        <v>-29.95</v>
      </c>
      <c r="H149" s="3" t="s">
        <v>134</v>
      </c>
    </row>
    <row r="150" spans="1:8" ht="28" x14ac:dyDescent="0.15">
      <c r="A150">
        <v>465631533</v>
      </c>
      <c r="B150" t="s">
        <v>8</v>
      </c>
      <c r="C150">
        <v>20251002</v>
      </c>
      <c r="D150">
        <v>20251002</v>
      </c>
      <c r="E150" s="6">
        <v>731.67</v>
      </c>
      <c r="F150" s="6">
        <v>693.77</v>
      </c>
      <c r="G150" s="6">
        <v>-37.9</v>
      </c>
      <c r="H150" s="3" t="s">
        <v>135</v>
      </c>
    </row>
    <row r="151" spans="1:8" ht="28" x14ac:dyDescent="0.15">
      <c r="A151">
        <v>465631533</v>
      </c>
      <c r="B151" t="s">
        <v>8</v>
      </c>
      <c r="C151">
        <v>20251002</v>
      </c>
      <c r="D151">
        <v>20251002</v>
      </c>
      <c r="E151" s="6">
        <v>693.77</v>
      </c>
      <c r="F151" s="6">
        <v>631.6</v>
      </c>
      <c r="G151" s="6">
        <v>-62.17</v>
      </c>
      <c r="H151" s="3" t="s">
        <v>136</v>
      </c>
    </row>
    <row r="152" spans="1:8" ht="28" x14ac:dyDescent="0.15">
      <c r="A152">
        <v>465631533</v>
      </c>
      <c r="B152" t="s">
        <v>8</v>
      </c>
      <c r="C152">
        <v>20251002</v>
      </c>
      <c r="D152">
        <v>20251002</v>
      </c>
      <c r="E152" s="6">
        <v>631.6</v>
      </c>
      <c r="F152" s="6">
        <v>611.70000000000005</v>
      </c>
      <c r="G152" s="6">
        <v>-19.899999999999999</v>
      </c>
      <c r="H152" s="3" t="s">
        <v>137</v>
      </c>
    </row>
    <row r="153" spans="1:8" ht="28" x14ac:dyDescent="0.15">
      <c r="A153">
        <v>465631533</v>
      </c>
      <c r="B153" t="s">
        <v>8</v>
      </c>
      <c r="C153">
        <v>20251002</v>
      </c>
      <c r="D153">
        <v>20251002</v>
      </c>
      <c r="E153" s="6">
        <v>611.70000000000005</v>
      </c>
      <c r="F153" s="6">
        <v>583.13</v>
      </c>
      <c r="G153" s="6">
        <v>-28.57</v>
      </c>
      <c r="H153" s="3" t="s">
        <v>138</v>
      </c>
    </row>
    <row r="154" spans="1:8" ht="56" x14ac:dyDescent="0.15">
      <c r="A154">
        <v>465631533</v>
      </c>
      <c r="B154" t="s">
        <v>8</v>
      </c>
      <c r="C154">
        <v>20251003</v>
      </c>
      <c r="D154">
        <v>20251003</v>
      </c>
      <c r="E154" s="6">
        <v>583.13</v>
      </c>
      <c r="F154" s="6">
        <v>562.03</v>
      </c>
      <c r="G154" s="6">
        <v>-21.1</v>
      </c>
      <c r="H154" s="3" t="s">
        <v>139</v>
      </c>
    </row>
    <row r="155" spans="1:8" ht="56" x14ac:dyDescent="0.15">
      <c r="A155">
        <v>465631533</v>
      </c>
      <c r="B155" t="s">
        <v>8</v>
      </c>
      <c r="C155">
        <v>20251003</v>
      </c>
      <c r="D155">
        <v>20251003</v>
      </c>
      <c r="E155" s="6">
        <v>562.03</v>
      </c>
      <c r="F155" s="6">
        <v>515.74</v>
      </c>
      <c r="G155" s="6">
        <v>-46.29</v>
      </c>
      <c r="H155" s="3" t="s">
        <v>140</v>
      </c>
    </row>
    <row r="156" spans="1:8" ht="28" x14ac:dyDescent="0.15">
      <c r="A156">
        <v>465631533</v>
      </c>
      <c r="B156" t="s">
        <v>8</v>
      </c>
      <c r="C156">
        <v>20251003</v>
      </c>
      <c r="D156">
        <v>20251003</v>
      </c>
      <c r="E156" s="6">
        <v>515.74</v>
      </c>
      <c r="F156" s="6">
        <v>445.58</v>
      </c>
      <c r="G156" s="6">
        <v>-70.16</v>
      </c>
      <c r="H156" s="3" t="s">
        <v>141</v>
      </c>
    </row>
    <row r="157" spans="1:8" ht="28" x14ac:dyDescent="0.15">
      <c r="A157">
        <v>465631533</v>
      </c>
      <c r="B157" t="s">
        <v>8</v>
      </c>
      <c r="C157">
        <v>20251004</v>
      </c>
      <c r="D157">
        <v>20251004</v>
      </c>
      <c r="E157" s="6">
        <v>445.58</v>
      </c>
      <c r="F157" s="6">
        <v>346.83</v>
      </c>
      <c r="G157" s="6">
        <v>-98.75</v>
      </c>
      <c r="H157" s="3" t="s">
        <v>142</v>
      </c>
    </row>
    <row r="158" spans="1:8" ht="28" x14ac:dyDescent="0.15">
      <c r="A158">
        <v>465631533</v>
      </c>
      <c r="B158" t="s">
        <v>8</v>
      </c>
      <c r="C158">
        <v>20251005</v>
      </c>
      <c r="D158">
        <v>20251005</v>
      </c>
      <c r="E158" s="6">
        <v>346.83</v>
      </c>
      <c r="F158" s="6">
        <v>341.93</v>
      </c>
      <c r="G158" s="6">
        <v>-4.9000000000000004</v>
      </c>
      <c r="H158" s="3" t="s">
        <v>143</v>
      </c>
    </row>
    <row r="159" spans="1:8" ht="56" x14ac:dyDescent="0.15">
      <c r="A159">
        <v>465631533</v>
      </c>
      <c r="B159" t="s">
        <v>8</v>
      </c>
      <c r="C159">
        <v>20251006</v>
      </c>
      <c r="D159">
        <v>20251006</v>
      </c>
      <c r="E159" s="6">
        <v>341.93</v>
      </c>
      <c r="F159" s="6">
        <v>143.04</v>
      </c>
      <c r="G159" s="6">
        <v>-198.89</v>
      </c>
      <c r="H159" s="3" t="s">
        <v>144</v>
      </c>
    </row>
    <row r="160" spans="1:8" ht="28" x14ac:dyDescent="0.15">
      <c r="A160">
        <v>465631533</v>
      </c>
      <c r="B160" t="s">
        <v>8</v>
      </c>
      <c r="C160">
        <v>20251006</v>
      </c>
      <c r="D160">
        <v>20251006</v>
      </c>
      <c r="E160" s="6">
        <v>143.04</v>
      </c>
      <c r="F160" s="6">
        <v>135.85</v>
      </c>
      <c r="G160" s="6">
        <v>-7.19</v>
      </c>
      <c r="H160" s="3" t="s">
        <v>145</v>
      </c>
    </row>
    <row r="161" spans="1:8" ht="56" x14ac:dyDescent="0.15">
      <c r="A161">
        <v>465631533</v>
      </c>
      <c r="B161" t="s">
        <v>8</v>
      </c>
      <c r="C161">
        <v>20251007</v>
      </c>
      <c r="D161">
        <v>20251007</v>
      </c>
      <c r="E161" s="6">
        <v>135.85</v>
      </c>
      <c r="F161" s="6">
        <v>133.75</v>
      </c>
      <c r="G161" s="6">
        <v>-2.1</v>
      </c>
      <c r="H161" s="3" t="s">
        <v>146</v>
      </c>
    </row>
    <row r="162" spans="1:8" ht="42" x14ac:dyDescent="0.15">
      <c r="A162">
        <v>465631533</v>
      </c>
      <c r="B162" t="s">
        <v>8</v>
      </c>
      <c r="C162">
        <v>20251007</v>
      </c>
      <c r="D162">
        <v>20251007</v>
      </c>
      <c r="E162" s="6">
        <v>133.75</v>
      </c>
      <c r="F162" s="6">
        <v>81.2</v>
      </c>
      <c r="G162" s="6">
        <v>-52.55</v>
      </c>
      <c r="H162" s="3" t="s">
        <v>147</v>
      </c>
    </row>
    <row r="163" spans="1:8" ht="56" x14ac:dyDescent="0.15">
      <c r="A163">
        <v>465631533</v>
      </c>
      <c r="B163" t="s">
        <v>8</v>
      </c>
      <c r="C163">
        <v>20251007</v>
      </c>
      <c r="D163">
        <v>20251007</v>
      </c>
      <c r="E163" s="6">
        <v>81.2</v>
      </c>
      <c r="F163" s="6">
        <v>78.209999999999994</v>
      </c>
      <c r="G163" s="6">
        <v>-2.99</v>
      </c>
      <c r="H163" s="3" t="s">
        <v>148</v>
      </c>
    </row>
    <row r="164" spans="1:8" ht="28" x14ac:dyDescent="0.15">
      <c r="A164">
        <v>465631533</v>
      </c>
      <c r="B164" t="s">
        <v>8</v>
      </c>
      <c r="C164">
        <v>20251008</v>
      </c>
      <c r="D164">
        <v>20251008</v>
      </c>
      <c r="E164" s="6">
        <v>78.209999999999994</v>
      </c>
      <c r="F164" s="6">
        <v>64.209999999999994</v>
      </c>
      <c r="G164" s="6">
        <v>-14</v>
      </c>
      <c r="H164" s="3" t="s">
        <v>149</v>
      </c>
    </row>
    <row r="165" spans="1:8" ht="28" x14ac:dyDescent="0.15">
      <c r="A165">
        <v>465631533</v>
      </c>
      <c r="B165" t="s">
        <v>8</v>
      </c>
      <c r="C165">
        <v>20251008</v>
      </c>
      <c r="D165">
        <v>20251008</v>
      </c>
      <c r="E165" s="6">
        <v>64.209999999999994</v>
      </c>
      <c r="F165" s="6">
        <v>49.72</v>
      </c>
      <c r="G165" s="6">
        <v>-14.49</v>
      </c>
      <c r="H165" s="3" t="s">
        <v>150</v>
      </c>
    </row>
    <row r="166" spans="1:8" ht="28" x14ac:dyDescent="0.15">
      <c r="A166">
        <v>465631533</v>
      </c>
      <c r="B166" t="s">
        <v>8</v>
      </c>
      <c r="C166">
        <v>20251008</v>
      </c>
      <c r="D166">
        <v>20251008</v>
      </c>
      <c r="E166" s="6">
        <v>49.72</v>
      </c>
      <c r="F166" s="6">
        <v>40.72</v>
      </c>
      <c r="G166" s="6">
        <v>-9</v>
      </c>
      <c r="H166" s="3" t="s">
        <v>151</v>
      </c>
    </row>
    <row r="167" spans="1:8" ht="28" x14ac:dyDescent="0.15">
      <c r="A167">
        <v>465631533</v>
      </c>
      <c r="B167" t="s">
        <v>8</v>
      </c>
      <c r="C167">
        <v>20251009</v>
      </c>
      <c r="D167">
        <v>20251009</v>
      </c>
      <c r="E167" s="6">
        <v>40.72</v>
      </c>
      <c r="F167" s="6">
        <v>3.07</v>
      </c>
      <c r="G167" s="6">
        <v>-37.65</v>
      </c>
      <c r="H167" s="3" t="s">
        <v>152</v>
      </c>
    </row>
    <row r="168" spans="1:8" ht="28" x14ac:dyDescent="0.15">
      <c r="A168">
        <v>465631533</v>
      </c>
      <c r="B168" t="s">
        <v>8</v>
      </c>
      <c r="C168">
        <v>20251009</v>
      </c>
      <c r="D168">
        <v>20251009</v>
      </c>
      <c r="E168" s="6">
        <v>3.07</v>
      </c>
      <c r="F168" s="6">
        <v>1.47</v>
      </c>
      <c r="G168" s="6">
        <v>-1.6</v>
      </c>
      <c r="H168" s="3" t="s">
        <v>153</v>
      </c>
    </row>
    <row r="169" spans="1:8" ht="28" x14ac:dyDescent="0.15">
      <c r="A169">
        <v>465631533</v>
      </c>
      <c r="B169" t="s">
        <v>8</v>
      </c>
      <c r="C169">
        <v>20251012</v>
      </c>
      <c r="D169">
        <v>20251012</v>
      </c>
      <c r="E169" s="6">
        <v>1.47</v>
      </c>
      <c r="F169" s="6">
        <v>1001.47</v>
      </c>
      <c r="G169" s="6">
        <v>1000</v>
      </c>
      <c r="H169" s="3" t="s">
        <v>22</v>
      </c>
    </row>
    <row r="170" spans="1:8" ht="42" x14ac:dyDescent="0.15">
      <c r="A170">
        <v>465631533</v>
      </c>
      <c r="B170" t="s">
        <v>8</v>
      </c>
      <c r="C170">
        <v>20251012</v>
      </c>
      <c r="D170">
        <v>20251012</v>
      </c>
      <c r="E170" s="6">
        <v>1001.47</v>
      </c>
      <c r="F170" s="6">
        <v>936.47</v>
      </c>
      <c r="G170" s="6">
        <v>-65</v>
      </c>
      <c r="H170" s="3" t="s">
        <v>154</v>
      </c>
    </row>
    <row r="171" spans="1:8" ht="56" x14ac:dyDescent="0.15">
      <c r="A171">
        <v>465631533</v>
      </c>
      <c r="B171" t="s">
        <v>8</v>
      </c>
      <c r="C171">
        <v>20251012</v>
      </c>
      <c r="D171">
        <v>20251012</v>
      </c>
      <c r="E171" s="6">
        <v>936.47</v>
      </c>
      <c r="F171" s="6">
        <v>925.75</v>
      </c>
      <c r="G171" s="6">
        <v>-10.72</v>
      </c>
      <c r="H171" s="3" t="s">
        <v>155</v>
      </c>
    </row>
    <row r="172" spans="1:8" ht="28" x14ac:dyDescent="0.15">
      <c r="A172">
        <v>465631533</v>
      </c>
      <c r="B172" t="s">
        <v>8</v>
      </c>
      <c r="C172">
        <v>20251012</v>
      </c>
      <c r="D172">
        <v>20251012</v>
      </c>
      <c r="E172" s="6">
        <v>925.75</v>
      </c>
      <c r="F172" s="6">
        <v>917.08</v>
      </c>
      <c r="G172" s="6">
        <v>-8.67</v>
      </c>
      <c r="H172" s="3" t="s">
        <v>156</v>
      </c>
    </row>
    <row r="173" spans="1:8" ht="28" x14ac:dyDescent="0.15">
      <c r="A173">
        <v>465631533</v>
      </c>
      <c r="B173" t="s">
        <v>8</v>
      </c>
      <c r="C173">
        <v>20251012</v>
      </c>
      <c r="D173">
        <v>20251012</v>
      </c>
      <c r="E173" s="6">
        <v>917.08</v>
      </c>
      <c r="F173" s="6">
        <v>830.17</v>
      </c>
      <c r="G173" s="6">
        <v>-86.91</v>
      </c>
      <c r="H173" s="3" t="s">
        <v>157</v>
      </c>
    </row>
    <row r="174" spans="1:8" ht="28" x14ac:dyDescent="0.15">
      <c r="A174">
        <v>465631533</v>
      </c>
      <c r="B174" t="s">
        <v>8</v>
      </c>
      <c r="C174">
        <v>20251014</v>
      </c>
      <c r="D174">
        <v>20251014</v>
      </c>
      <c r="E174" s="6">
        <v>830.17</v>
      </c>
      <c r="F174" s="6">
        <v>779.94</v>
      </c>
      <c r="G174" s="6">
        <v>-50.23</v>
      </c>
      <c r="H174" s="3" t="s">
        <v>158</v>
      </c>
    </row>
    <row r="175" spans="1:8" ht="28" x14ac:dyDescent="0.15">
      <c r="A175">
        <v>465631533</v>
      </c>
      <c r="B175" t="s">
        <v>8</v>
      </c>
      <c r="C175">
        <v>20251014</v>
      </c>
      <c r="D175">
        <v>20251014</v>
      </c>
      <c r="E175" s="6">
        <v>779.94</v>
      </c>
      <c r="F175" s="6">
        <v>748.66</v>
      </c>
      <c r="G175" s="6">
        <v>-31.28</v>
      </c>
      <c r="H175" s="3" t="s">
        <v>159</v>
      </c>
    </row>
    <row r="176" spans="1:8" ht="28" x14ac:dyDescent="0.15">
      <c r="A176">
        <v>465631533</v>
      </c>
      <c r="B176" t="s">
        <v>8</v>
      </c>
      <c r="C176">
        <v>20251014</v>
      </c>
      <c r="D176">
        <v>20251014</v>
      </c>
      <c r="E176" s="6">
        <v>748.66</v>
      </c>
      <c r="F176" s="6">
        <v>719.16</v>
      </c>
      <c r="G176" s="6">
        <v>-29.5</v>
      </c>
      <c r="H176" s="3" t="s">
        <v>160</v>
      </c>
    </row>
    <row r="177" spans="1:8" ht="28" x14ac:dyDescent="0.15">
      <c r="A177">
        <v>465631533</v>
      </c>
      <c r="B177" t="s">
        <v>8</v>
      </c>
      <c r="C177">
        <v>20251014</v>
      </c>
      <c r="D177">
        <v>20251014</v>
      </c>
      <c r="E177" s="6">
        <v>719.16</v>
      </c>
      <c r="F177" s="6">
        <v>668.96</v>
      </c>
      <c r="G177" s="6">
        <v>-50.2</v>
      </c>
      <c r="H177" s="3" t="s">
        <v>161</v>
      </c>
    </row>
    <row r="178" spans="1:8" ht="28" x14ac:dyDescent="0.15">
      <c r="A178">
        <v>465631533</v>
      </c>
      <c r="B178" t="s">
        <v>8</v>
      </c>
      <c r="C178">
        <v>20251014</v>
      </c>
      <c r="D178">
        <v>20251014</v>
      </c>
      <c r="E178" s="6">
        <v>668.96</v>
      </c>
      <c r="F178" s="6">
        <v>628.29</v>
      </c>
      <c r="G178" s="6">
        <v>-40.67</v>
      </c>
      <c r="H178" s="3" t="s">
        <v>162</v>
      </c>
    </row>
    <row r="179" spans="1:8" ht="28" x14ac:dyDescent="0.15">
      <c r="A179">
        <v>465631533</v>
      </c>
      <c r="B179" t="s">
        <v>8</v>
      </c>
      <c r="C179">
        <v>20251014</v>
      </c>
      <c r="D179">
        <v>20251014</v>
      </c>
      <c r="E179" s="6">
        <v>628.29</v>
      </c>
      <c r="F179" s="6">
        <v>468.29</v>
      </c>
      <c r="G179" s="6">
        <v>-160</v>
      </c>
      <c r="H179" s="3" t="s">
        <v>163</v>
      </c>
    </row>
    <row r="180" spans="1:8" ht="28" x14ac:dyDescent="0.15">
      <c r="A180">
        <v>465631533</v>
      </c>
      <c r="B180" t="s">
        <v>8</v>
      </c>
      <c r="C180">
        <v>20251014</v>
      </c>
      <c r="D180">
        <v>20251014</v>
      </c>
      <c r="E180" s="6">
        <v>468.29</v>
      </c>
      <c r="F180" s="6">
        <v>458.34</v>
      </c>
      <c r="G180" s="6">
        <v>-9.9499999999999993</v>
      </c>
      <c r="H180" s="3" t="s">
        <v>164</v>
      </c>
    </row>
    <row r="181" spans="1:8" ht="28" x14ac:dyDescent="0.15">
      <c r="A181">
        <v>465631533</v>
      </c>
      <c r="B181" t="s">
        <v>8</v>
      </c>
      <c r="C181">
        <v>20251014</v>
      </c>
      <c r="D181">
        <v>20251014</v>
      </c>
      <c r="E181" s="6">
        <v>458.34</v>
      </c>
      <c r="F181" s="6">
        <v>418.34</v>
      </c>
      <c r="G181" s="6">
        <v>-40</v>
      </c>
      <c r="H181" s="3" t="s">
        <v>165</v>
      </c>
    </row>
    <row r="182" spans="1:8" ht="28" x14ac:dyDescent="0.15">
      <c r="A182">
        <v>465631533</v>
      </c>
      <c r="B182" t="s">
        <v>8</v>
      </c>
      <c r="C182">
        <v>20251014</v>
      </c>
      <c r="D182">
        <v>20251014</v>
      </c>
      <c r="E182" s="6">
        <v>418.34</v>
      </c>
      <c r="F182" s="6">
        <v>403.34</v>
      </c>
      <c r="G182" s="6">
        <v>-15</v>
      </c>
      <c r="H182" s="3" t="s">
        <v>166</v>
      </c>
    </row>
    <row r="183" spans="1:8" ht="28" x14ac:dyDescent="0.15">
      <c r="A183">
        <v>465631533</v>
      </c>
      <c r="B183" t="s">
        <v>8</v>
      </c>
      <c r="C183">
        <v>20251014</v>
      </c>
      <c r="D183">
        <v>20251014</v>
      </c>
      <c r="E183" s="6">
        <v>403.34</v>
      </c>
      <c r="F183" s="6">
        <v>387.74</v>
      </c>
      <c r="G183" s="6">
        <v>-15.6</v>
      </c>
      <c r="H183" s="3" t="s">
        <v>167</v>
      </c>
    </row>
    <row r="184" spans="1:8" ht="56" x14ac:dyDescent="0.15">
      <c r="A184">
        <v>465631533</v>
      </c>
      <c r="B184" t="s">
        <v>8</v>
      </c>
      <c r="C184">
        <v>20251015</v>
      </c>
      <c r="D184">
        <v>20251015</v>
      </c>
      <c r="E184" s="6">
        <v>387.74</v>
      </c>
      <c r="F184" s="6">
        <v>360.66</v>
      </c>
      <c r="G184" s="6">
        <v>-27.08</v>
      </c>
      <c r="H184" s="3" t="s">
        <v>168</v>
      </c>
    </row>
    <row r="185" spans="1:8" ht="56" x14ac:dyDescent="0.15">
      <c r="A185">
        <v>465631533</v>
      </c>
      <c r="B185" t="s">
        <v>8</v>
      </c>
      <c r="C185">
        <v>20251015</v>
      </c>
      <c r="D185">
        <v>20251015</v>
      </c>
      <c r="E185" s="6">
        <v>360.66</v>
      </c>
      <c r="F185" s="6">
        <v>576.66</v>
      </c>
      <c r="G185" s="6">
        <v>216</v>
      </c>
      <c r="H185" s="3" t="s">
        <v>169</v>
      </c>
    </row>
    <row r="186" spans="1:8" ht="56" x14ac:dyDescent="0.15">
      <c r="A186">
        <v>465631533</v>
      </c>
      <c r="B186" t="s">
        <v>8</v>
      </c>
      <c r="C186">
        <v>20251017</v>
      </c>
      <c r="D186">
        <v>20251017</v>
      </c>
      <c r="E186" s="6">
        <v>576.66</v>
      </c>
      <c r="F186" s="6">
        <v>562.21</v>
      </c>
      <c r="G186" s="6">
        <v>-14.45</v>
      </c>
      <c r="H186" s="3" t="s">
        <v>170</v>
      </c>
    </row>
    <row r="187" spans="1:8" ht="28" x14ac:dyDescent="0.15">
      <c r="A187">
        <v>465631533</v>
      </c>
      <c r="B187" t="s">
        <v>8</v>
      </c>
      <c r="C187">
        <v>20251017</v>
      </c>
      <c r="D187">
        <v>20251017</v>
      </c>
      <c r="E187" s="6">
        <v>562.21</v>
      </c>
      <c r="F187" s="6">
        <v>554.86</v>
      </c>
      <c r="G187" s="6">
        <v>-7.35</v>
      </c>
      <c r="H187" s="3" t="s">
        <v>57</v>
      </c>
    </row>
    <row r="188" spans="1:8" ht="28" x14ac:dyDescent="0.15">
      <c r="A188">
        <v>465631533</v>
      </c>
      <c r="B188" t="s">
        <v>8</v>
      </c>
      <c r="C188">
        <v>20251017</v>
      </c>
      <c r="D188">
        <v>20251017</v>
      </c>
      <c r="E188" s="6">
        <v>554.86</v>
      </c>
      <c r="F188" s="6">
        <v>536.30999999999995</v>
      </c>
      <c r="G188" s="6">
        <v>-18.55</v>
      </c>
      <c r="H188" s="3" t="s">
        <v>171</v>
      </c>
    </row>
    <row r="189" spans="1:8" ht="28" x14ac:dyDescent="0.15">
      <c r="A189">
        <v>465631533</v>
      </c>
      <c r="B189" t="s">
        <v>8</v>
      </c>
      <c r="C189">
        <v>20251017</v>
      </c>
      <c r="D189">
        <v>20251017</v>
      </c>
      <c r="E189" s="6">
        <v>536.30999999999995</v>
      </c>
      <c r="F189" s="6">
        <v>532.30999999999995</v>
      </c>
      <c r="G189" s="6">
        <v>-4</v>
      </c>
      <c r="H189" s="3" t="s">
        <v>172</v>
      </c>
    </row>
    <row r="190" spans="1:8" ht="28" x14ac:dyDescent="0.15">
      <c r="A190">
        <v>465631533</v>
      </c>
      <c r="B190" t="s">
        <v>8</v>
      </c>
      <c r="C190">
        <v>20251017</v>
      </c>
      <c r="D190">
        <v>20251017</v>
      </c>
      <c r="E190" s="6">
        <v>532.30999999999995</v>
      </c>
      <c r="F190" s="6">
        <v>528.30999999999995</v>
      </c>
      <c r="G190" s="6">
        <v>-4</v>
      </c>
      <c r="H190" s="3" t="s">
        <v>172</v>
      </c>
    </row>
    <row r="191" spans="1:8" ht="28" x14ac:dyDescent="0.15">
      <c r="A191">
        <v>465631533</v>
      </c>
      <c r="B191" t="s">
        <v>8</v>
      </c>
      <c r="C191">
        <v>20251017</v>
      </c>
      <c r="D191">
        <v>20251017</v>
      </c>
      <c r="E191" s="6">
        <v>528.30999999999995</v>
      </c>
      <c r="F191" s="6">
        <v>504.51</v>
      </c>
      <c r="G191" s="6">
        <v>-23.8</v>
      </c>
      <c r="H191" s="3" t="s">
        <v>173</v>
      </c>
    </row>
    <row r="192" spans="1:8" ht="28" x14ac:dyDescent="0.15">
      <c r="A192">
        <v>465631533</v>
      </c>
      <c r="B192" t="s">
        <v>8</v>
      </c>
      <c r="C192">
        <v>20251017</v>
      </c>
      <c r="D192">
        <v>20251017</v>
      </c>
      <c r="E192" s="6">
        <v>504.51</v>
      </c>
      <c r="F192" s="6">
        <v>461.66</v>
      </c>
      <c r="G192" s="6">
        <v>-42.85</v>
      </c>
      <c r="H192" s="3" t="s">
        <v>174</v>
      </c>
    </row>
    <row r="193" spans="1:8" ht="28" x14ac:dyDescent="0.15">
      <c r="A193">
        <v>465631533</v>
      </c>
      <c r="B193" t="s">
        <v>8</v>
      </c>
      <c r="C193">
        <v>20251018</v>
      </c>
      <c r="D193">
        <v>20251018</v>
      </c>
      <c r="E193" s="6">
        <v>461.66</v>
      </c>
      <c r="F193" s="6">
        <v>448.67</v>
      </c>
      <c r="G193" s="6">
        <v>-12.99</v>
      </c>
      <c r="H193" s="3" t="s">
        <v>175</v>
      </c>
    </row>
    <row r="194" spans="1:8" ht="28" x14ac:dyDescent="0.15">
      <c r="A194">
        <v>465631533</v>
      </c>
      <c r="B194" t="s">
        <v>8</v>
      </c>
      <c r="C194">
        <v>20251018</v>
      </c>
      <c r="D194">
        <v>20251018</v>
      </c>
      <c r="E194" s="6">
        <v>448.67</v>
      </c>
      <c r="F194" s="6">
        <v>413.92</v>
      </c>
      <c r="G194" s="6">
        <v>-34.75</v>
      </c>
      <c r="H194" s="3" t="s">
        <v>176</v>
      </c>
    </row>
    <row r="195" spans="1:8" ht="28" x14ac:dyDescent="0.15">
      <c r="A195">
        <v>465631533</v>
      </c>
      <c r="B195" t="s">
        <v>8</v>
      </c>
      <c r="C195">
        <v>20251018</v>
      </c>
      <c r="D195">
        <v>20251018</v>
      </c>
      <c r="E195" s="6">
        <v>413.92</v>
      </c>
      <c r="F195" s="6">
        <v>327.37</v>
      </c>
      <c r="G195" s="6">
        <v>-86.55</v>
      </c>
      <c r="H195" s="3" t="s">
        <v>177</v>
      </c>
    </row>
    <row r="196" spans="1:8" ht="28" x14ac:dyDescent="0.15">
      <c r="A196">
        <v>465631533</v>
      </c>
      <c r="B196" t="s">
        <v>8</v>
      </c>
      <c r="C196">
        <v>20251018</v>
      </c>
      <c r="D196">
        <v>20251018</v>
      </c>
      <c r="E196" s="6">
        <v>327.37</v>
      </c>
      <c r="F196" s="6">
        <v>307.08999999999997</v>
      </c>
      <c r="G196" s="6">
        <v>-20.28</v>
      </c>
      <c r="H196" s="3" t="s">
        <v>178</v>
      </c>
    </row>
    <row r="197" spans="1:8" ht="28" x14ac:dyDescent="0.15">
      <c r="A197">
        <v>465631533</v>
      </c>
      <c r="B197" t="s">
        <v>8</v>
      </c>
      <c r="C197">
        <v>20251018</v>
      </c>
      <c r="D197">
        <v>20251018</v>
      </c>
      <c r="E197" s="6">
        <v>307.08999999999997</v>
      </c>
      <c r="F197" s="6">
        <v>233.14</v>
      </c>
      <c r="G197" s="6">
        <v>-73.95</v>
      </c>
      <c r="H197" s="3" t="s">
        <v>179</v>
      </c>
    </row>
    <row r="198" spans="1:8" ht="28" x14ac:dyDescent="0.15">
      <c r="A198">
        <v>465631533</v>
      </c>
      <c r="B198" t="s">
        <v>8</v>
      </c>
      <c r="C198">
        <v>20251018</v>
      </c>
      <c r="D198">
        <v>20251018</v>
      </c>
      <c r="E198" s="6">
        <v>233.14</v>
      </c>
      <c r="F198" s="6">
        <v>218.74</v>
      </c>
      <c r="G198" s="6">
        <v>-14.4</v>
      </c>
      <c r="H198" s="3" t="s">
        <v>180</v>
      </c>
    </row>
    <row r="199" spans="1:8" ht="28" x14ac:dyDescent="0.15">
      <c r="A199">
        <v>465631533</v>
      </c>
      <c r="B199" t="s">
        <v>8</v>
      </c>
      <c r="C199">
        <v>20251019</v>
      </c>
      <c r="D199">
        <v>20251019</v>
      </c>
      <c r="E199" s="6">
        <v>218.74</v>
      </c>
      <c r="F199" s="6">
        <v>208.74</v>
      </c>
      <c r="G199" s="6">
        <v>-10</v>
      </c>
      <c r="H199" s="3" t="s">
        <v>181</v>
      </c>
    </row>
    <row r="200" spans="1:8" ht="28" x14ac:dyDescent="0.15">
      <c r="A200">
        <v>465631533</v>
      </c>
      <c r="B200" t="s">
        <v>8</v>
      </c>
      <c r="C200">
        <v>20251019</v>
      </c>
      <c r="D200">
        <v>20251019</v>
      </c>
      <c r="E200" s="6">
        <v>208.74</v>
      </c>
      <c r="F200" s="6">
        <v>182.46</v>
      </c>
      <c r="G200" s="6">
        <v>-26.28</v>
      </c>
      <c r="H200" s="3" t="s">
        <v>182</v>
      </c>
    </row>
    <row r="201" spans="1:8" ht="28" x14ac:dyDescent="0.15">
      <c r="A201">
        <v>465631533</v>
      </c>
      <c r="B201" t="s">
        <v>8</v>
      </c>
      <c r="C201">
        <v>20251019</v>
      </c>
      <c r="D201">
        <v>20251019</v>
      </c>
      <c r="E201" s="6">
        <v>182.46</v>
      </c>
      <c r="F201" s="6">
        <v>173.47</v>
      </c>
      <c r="G201" s="6">
        <v>-8.99</v>
      </c>
      <c r="H201" s="3" t="s">
        <v>183</v>
      </c>
    </row>
    <row r="202" spans="1:8" ht="28" x14ac:dyDescent="0.15">
      <c r="A202">
        <v>465631533</v>
      </c>
      <c r="B202" t="s">
        <v>8</v>
      </c>
      <c r="C202">
        <v>20251019</v>
      </c>
      <c r="D202">
        <v>20251019</v>
      </c>
      <c r="E202" s="6">
        <v>173.47</v>
      </c>
      <c r="F202" s="6">
        <v>90.17</v>
      </c>
      <c r="G202" s="6">
        <v>-83.3</v>
      </c>
      <c r="H202" s="3" t="s">
        <v>184</v>
      </c>
    </row>
    <row r="203" spans="1:8" ht="28" x14ac:dyDescent="0.15">
      <c r="A203">
        <v>465631533</v>
      </c>
      <c r="B203" t="s">
        <v>8</v>
      </c>
      <c r="C203">
        <v>20251019</v>
      </c>
      <c r="D203">
        <v>20251019</v>
      </c>
      <c r="E203" s="6">
        <v>90.17</v>
      </c>
      <c r="F203" s="6">
        <v>69.52</v>
      </c>
      <c r="G203" s="6">
        <v>-20.65</v>
      </c>
      <c r="H203" s="3" t="s">
        <v>185</v>
      </c>
    </row>
    <row r="204" spans="1:8" ht="28" x14ac:dyDescent="0.15">
      <c r="A204">
        <v>465631533</v>
      </c>
      <c r="B204" t="s">
        <v>8</v>
      </c>
      <c r="C204">
        <v>20251019</v>
      </c>
      <c r="D204">
        <v>20251019</v>
      </c>
      <c r="E204" s="6">
        <v>69.52</v>
      </c>
      <c r="F204" s="6">
        <v>59.92</v>
      </c>
      <c r="G204" s="6">
        <v>-9.6</v>
      </c>
      <c r="H204" s="3" t="s">
        <v>186</v>
      </c>
    </row>
    <row r="205" spans="1:8" ht="28" x14ac:dyDescent="0.15">
      <c r="A205">
        <v>465631533</v>
      </c>
      <c r="B205" t="s">
        <v>8</v>
      </c>
      <c r="C205">
        <v>20251020</v>
      </c>
      <c r="D205">
        <v>20251020</v>
      </c>
      <c r="E205" s="6">
        <v>59.92</v>
      </c>
      <c r="F205" s="6">
        <v>15.29</v>
      </c>
      <c r="G205" s="6">
        <v>-44.63</v>
      </c>
      <c r="H205" s="3" t="s">
        <v>187</v>
      </c>
    </row>
    <row r="206" spans="1:8" ht="28" x14ac:dyDescent="0.15">
      <c r="A206">
        <v>465631533</v>
      </c>
      <c r="B206" t="s">
        <v>8</v>
      </c>
      <c r="C206">
        <v>20251020</v>
      </c>
      <c r="D206">
        <v>20251020</v>
      </c>
      <c r="E206" s="6">
        <v>15.29</v>
      </c>
      <c r="F206" s="6">
        <v>0.38</v>
      </c>
      <c r="G206" s="6">
        <v>-14.91</v>
      </c>
      <c r="H206" s="3" t="s">
        <v>188</v>
      </c>
    </row>
    <row r="207" spans="1:8" ht="28" x14ac:dyDescent="0.15">
      <c r="A207">
        <v>465631533</v>
      </c>
      <c r="B207" t="s">
        <v>8</v>
      </c>
      <c r="C207">
        <v>20251021</v>
      </c>
      <c r="D207">
        <v>20251021</v>
      </c>
      <c r="E207" s="6">
        <v>0.38</v>
      </c>
      <c r="F207" s="6">
        <v>524.83000000000004</v>
      </c>
      <c r="G207" s="6">
        <v>524.45000000000005</v>
      </c>
      <c r="H207" s="3" t="s">
        <v>22</v>
      </c>
    </row>
    <row r="208" spans="1:8" ht="56" x14ac:dyDescent="0.15">
      <c r="A208">
        <v>465631533</v>
      </c>
      <c r="B208" t="s">
        <v>8</v>
      </c>
      <c r="C208">
        <v>20251021</v>
      </c>
      <c r="D208">
        <v>20251021</v>
      </c>
      <c r="E208" s="6">
        <v>524.83000000000004</v>
      </c>
      <c r="F208" s="6">
        <v>451.94</v>
      </c>
      <c r="G208" s="6">
        <v>-72.89</v>
      </c>
      <c r="H208" s="3" t="s">
        <v>189</v>
      </c>
    </row>
    <row r="209" spans="1:8" ht="56" x14ac:dyDescent="0.15">
      <c r="A209">
        <v>465631533</v>
      </c>
      <c r="B209" t="s">
        <v>8</v>
      </c>
      <c r="C209">
        <v>20251021</v>
      </c>
      <c r="D209">
        <v>20251021</v>
      </c>
      <c r="E209" s="6">
        <v>451.94</v>
      </c>
      <c r="F209" s="6">
        <v>436.21</v>
      </c>
      <c r="G209" s="6">
        <v>-15.73</v>
      </c>
      <c r="H209" s="3" t="s">
        <v>190</v>
      </c>
    </row>
    <row r="210" spans="1:8" ht="28" x14ac:dyDescent="0.15">
      <c r="A210">
        <v>465631533</v>
      </c>
      <c r="B210" t="s">
        <v>8</v>
      </c>
      <c r="C210">
        <v>20251021</v>
      </c>
      <c r="D210">
        <v>20251021</v>
      </c>
      <c r="E210" s="6">
        <v>436.21</v>
      </c>
      <c r="F210" s="6">
        <v>384.26</v>
      </c>
      <c r="G210" s="6">
        <v>-51.95</v>
      </c>
      <c r="H210" s="3" t="s">
        <v>191</v>
      </c>
    </row>
    <row r="211" spans="1:8" ht="28" x14ac:dyDescent="0.15">
      <c r="A211">
        <v>465631533</v>
      </c>
      <c r="B211" t="s">
        <v>8</v>
      </c>
      <c r="C211">
        <v>20251021</v>
      </c>
      <c r="D211">
        <v>20251021</v>
      </c>
      <c r="E211" s="6">
        <v>384.26</v>
      </c>
      <c r="F211" s="6">
        <v>279.26</v>
      </c>
      <c r="G211" s="6">
        <v>-105</v>
      </c>
      <c r="H211" s="3" t="s">
        <v>192</v>
      </c>
    </row>
    <row r="212" spans="1:8" ht="28" x14ac:dyDescent="0.15">
      <c r="A212">
        <v>465631533</v>
      </c>
      <c r="B212" t="s">
        <v>8</v>
      </c>
      <c r="C212">
        <v>20251022</v>
      </c>
      <c r="D212">
        <v>20251022</v>
      </c>
      <c r="E212" s="6">
        <v>279.26</v>
      </c>
      <c r="F212" s="6">
        <v>271.76</v>
      </c>
      <c r="G212" s="6">
        <v>-7.5</v>
      </c>
      <c r="H212" s="3" t="s">
        <v>193</v>
      </c>
    </row>
    <row r="213" spans="1:8" ht="28" x14ac:dyDescent="0.15">
      <c r="A213">
        <v>465631533</v>
      </c>
      <c r="B213" t="s">
        <v>8</v>
      </c>
      <c r="C213">
        <v>20251022</v>
      </c>
      <c r="D213">
        <v>20251022</v>
      </c>
      <c r="E213" s="6">
        <v>271.76</v>
      </c>
      <c r="F213" s="6">
        <v>243.27</v>
      </c>
      <c r="G213" s="6">
        <v>-28.49</v>
      </c>
      <c r="H213" s="3" t="s">
        <v>194</v>
      </c>
    </row>
    <row r="214" spans="1:8" ht="28" x14ac:dyDescent="0.15">
      <c r="A214">
        <v>465631533</v>
      </c>
      <c r="B214" t="s">
        <v>8</v>
      </c>
      <c r="C214">
        <v>20251022</v>
      </c>
      <c r="D214">
        <v>20251022</v>
      </c>
      <c r="E214" s="6">
        <v>243.27</v>
      </c>
      <c r="F214" s="6">
        <v>241.27</v>
      </c>
      <c r="G214" s="6">
        <v>-2</v>
      </c>
      <c r="H214" s="3" t="s">
        <v>195</v>
      </c>
    </row>
    <row r="215" spans="1:8" ht="28" x14ac:dyDescent="0.15">
      <c r="A215">
        <v>465631533</v>
      </c>
      <c r="B215" t="s">
        <v>8</v>
      </c>
      <c r="C215">
        <v>20251022</v>
      </c>
      <c r="D215">
        <v>20251022</v>
      </c>
      <c r="E215" s="6">
        <v>241.27</v>
      </c>
      <c r="F215" s="6">
        <v>205.98</v>
      </c>
      <c r="G215" s="6">
        <v>-35.29</v>
      </c>
      <c r="H215" s="3" t="s">
        <v>196</v>
      </c>
    </row>
    <row r="216" spans="1:8" ht="28" x14ac:dyDescent="0.15">
      <c r="A216">
        <v>465631533</v>
      </c>
      <c r="B216" t="s">
        <v>8</v>
      </c>
      <c r="C216">
        <v>20251022</v>
      </c>
      <c r="D216">
        <v>20251022</v>
      </c>
      <c r="E216" s="6">
        <v>205.98</v>
      </c>
      <c r="F216" s="6">
        <v>197.98</v>
      </c>
      <c r="G216" s="6">
        <v>-8</v>
      </c>
      <c r="H216" s="3" t="s">
        <v>197</v>
      </c>
    </row>
    <row r="217" spans="1:8" ht="28" x14ac:dyDescent="0.15">
      <c r="A217">
        <v>465631533</v>
      </c>
      <c r="B217" t="s">
        <v>8</v>
      </c>
      <c r="C217">
        <v>20251023</v>
      </c>
      <c r="D217">
        <v>20251023</v>
      </c>
      <c r="E217" s="6">
        <v>197.98</v>
      </c>
      <c r="F217" s="6">
        <v>143.63</v>
      </c>
      <c r="G217" s="6">
        <v>-54.35</v>
      </c>
      <c r="H217" s="3" t="s">
        <v>198</v>
      </c>
    </row>
    <row r="218" spans="1:8" ht="42" x14ac:dyDescent="0.15">
      <c r="A218">
        <v>465631533</v>
      </c>
      <c r="B218" t="s">
        <v>8</v>
      </c>
      <c r="C218">
        <v>20251023</v>
      </c>
      <c r="D218">
        <v>20251023</v>
      </c>
      <c r="E218" s="6">
        <v>143.63</v>
      </c>
      <c r="F218" s="6">
        <v>92.7</v>
      </c>
      <c r="G218" s="6">
        <v>-50.93</v>
      </c>
      <c r="H218" s="3" t="s">
        <v>199</v>
      </c>
    </row>
    <row r="219" spans="1:8" ht="42" x14ac:dyDescent="0.15">
      <c r="A219">
        <v>465631533</v>
      </c>
      <c r="B219" t="s">
        <v>8</v>
      </c>
      <c r="C219">
        <v>20251023</v>
      </c>
      <c r="D219">
        <v>20251023</v>
      </c>
      <c r="E219" s="6">
        <v>92.7</v>
      </c>
      <c r="F219" s="6">
        <v>83.72</v>
      </c>
      <c r="G219" s="6">
        <v>-8.98</v>
      </c>
      <c r="H219" s="3" t="s">
        <v>200</v>
      </c>
    </row>
    <row r="220" spans="1:8" ht="42" x14ac:dyDescent="0.15">
      <c r="A220">
        <v>465631533</v>
      </c>
      <c r="B220" t="s">
        <v>8</v>
      </c>
      <c r="C220">
        <v>20251023</v>
      </c>
      <c r="D220">
        <v>20251023</v>
      </c>
      <c r="E220" s="6">
        <v>83.72</v>
      </c>
      <c r="F220" s="6">
        <v>80.73</v>
      </c>
      <c r="G220" s="6">
        <v>-2.99</v>
      </c>
      <c r="H220" s="3" t="s">
        <v>201</v>
      </c>
    </row>
    <row r="221" spans="1:8" ht="42" x14ac:dyDescent="0.15">
      <c r="A221">
        <v>465631533</v>
      </c>
      <c r="B221" t="s">
        <v>8</v>
      </c>
      <c r="C221">
        <v>20251023</v>
      </c>
      <c r="D221">
        <v>20251023</v>
      </c>
      <c r="E221" s="6">
        <v>80.73</v>
      </c>
      <c r="F221" s="6">
        <v>33.22</v>
      </c>
      <c r="G221" s="6">
        <v>-47.51</v>
      </c>
      <c r="H221" s="3" t="s">
        <v>202</v>
      </c>
    </row>
    <row r="222" spans="1:8" ht="28" x14ac:dyDescent="0.15">
      <c r="A222">
        <v>465631533</v>
      </c>
      <c r="B222" t="s">
        <v>8</v>
      </c>
      <c r="C222">
        <v>20251023</v>
      </c>
      <c r="D222">
        <v>20251023</v>
      </c>
      <c r="E222" s="6">
        <v>33.22</v>
      </c>
      <c r="F222" s="6">
        <v>9.4</v>
      </c>
      <c r="G222" s="6">
        <v>-23.82</v>
      </c>
      <c r="H222" s="3" t="s">
        <v>203</v>
      </c>
    </row>
    <row r="223" spans="1:8" ht="42" x14ac:dyDescent="0.15">
      <c r="A223">
        <v>465631533</v>
      </c>
      <c r="B223" t="s">
        <v>8</v>
      </c>
      <c r="C223">
        <v>20251023</v>
      </c>
      <c r="D223">
        <v>20251023</v>
      </c>
      <c r="E223" s="6">
        <v>9.4</v>
      </c>
      <c r="F223" s="6">
        <v>6369.83</v>
      </c>
      <c r="G223" s="6">
        <v>6360.43</v>
      </c>
      <c r="H223" s="3" t="s">
        <v>204</v>
      </c>
    </row>
    <row r="224" spans="1:8" ht="56" x14ac:dyDescent="0.15">
      <c r="A224">
        <v>465631533</v>
      </c>
      <c r="B224" t="s">
        <v>8</v>
      </c>
      <c r="C224">
        <v>20251024</v>
      </c>
      <c r="D224">
        <v>20251024</v>
      </c>
      <c r="E224" s="6">
        <v>6369.83</v>
      </c>
      <c r="F224" s="6">
        <v>6354.33</v>
      </c>
      <c r="G224" s="6">
        <v>-15.5</v>
      </c>
      <c r="H224" s="3" t="s">
        <v>205</v>
      </c>
    </row>
    <row r="225" spans="1:8" ht="42" x14ac:dyDescent="0.15">
      <c r="A225">
        <v>465631533</v>
      </c>
      <c r="B225" t="s">
        <v>8</v>
      </c>
      <c r="C225">
        <v>20251024</v>
      </c>
      <c r="D225">
        <v>20251024</v>
      </c>
      <c r="E225" s="6">
        <v>6354.33</v>
      </c>
      <c r="F225" s="6">
        <v>6312.3</v>
      </c>
      <c r="G225" s="6">
        <v>-42.03</v>
      </c>
      <c r="H225" s="3" t="s">
        <v>206</v>
      </c>
    </row>
    <row r="226" spans="1:8" ht="28" x14ac:dyDescent="0.15">
      <c r="A226">
        <v>465631533</v>
      </c>
      <c r="B226" t="s">
        <v>8</v>
      </c>
      <c r="C226">
        <v>20251024</v>
      </c>
      <c r="D226">
        <v>20251024</v>
      </c>
      <c r="E226" s="6">
        <v>6312.3</v>
      </c>
      <c r="F226" s="6">
        <v>6234.37</v>
      </c>
      <c r="G226" s="6">
        <v>-77.930000000000007</v>
      </c>
      <c r="H226" s="3" t="s">
        <v>207</v>
      </c>
    </row>
    <row r="227" spans="1:8" ht="28" x14ac:dyDescent="0.15">
      <c r="A227">
        <v>465631533</v>
      </c>
      <c r="B227" t="s">
        <v>8</v>
      </c>
      <c r="C227">
        <v>20251024</v>
      </c>
      <c r="D227">
        <v>20251024</v>
      </c>
      <c r="E227" s="6">
        <v>6234.37</v>
      </c>
      <c r="F227" s="6">
        <v>6213.37</v>
      </c>
      <c r="G227" s="6">
        <v>-21</v>
      </c>
      <c r="H227" s="3" t="s">
        <v>208</v>
      </c>
    </row>
    <row r="228" spans="1:8" ht="28" x14ac:dyDescent="0.15">
      <c r="A228">
        <v>465631533</v>
      </c>
      <c r="B228" t="s">
        <v>8</v>
      </c>
      <c r="C228">
        <v>20251024</v>
      </c>
      <c r="D228">
        <v>20251024</v>
      </c>
      <c r="E228" s="6">
        <v>6213.37</v>
      </c>
      <c r="F228" s="6">
        <v>6172.32</v>
      </c>
      <c r="G228" s="6">
        <v>-41.05</v>
      </c>
      <c r="H228" s="3" t="s">
        <v>209</v>
      </c>
    </row>
    <row r="229" spans="1:8" ht="28" x14ac:dyDescent="0.15">
      <c r="A229">
        <v>465631533</v>
      </c>
      <c r="B229" t="s">
        <v>8</v>
      </c>
      <c r="C229">
        <v>20251024</v>
      </c>
      <c r="D229">
        <v>20251024</v>
      </c>
      <c r="E229" s="6">
        <v>6172.32</v>
      </c>
      <c r="F229" s="6">
        <v>6165</v>
      </c>
      <c r="G229" s="6">
        <v>-7.32</v>
      </c>
      <c r="H229" s="3" t="s">
        <v>210</v>
      </c>
    </row>
    <row r="230" spans="1:8" ht="28" x14ac:dyDescent="0.15">
      <c r="A230">
        <v>465631533</v>
      </c>
      <c r="B230" t="s">
        <v>8</v>
      </c>
      <c r="C230">
        <v>20251025</v>
      </c>
      <c r="D230">
        <v>20251025</v>
      </c>
      <c r="E230" s="6">
        <v>6165</v>
      </c>
      <c r="F230" s="6">
        <v>6099.35</v>
      </c>
      <c r="G230" s="6">
        <v>-65.650000000000006</v>
      </c>
      <c r="H230" s="3" t="s">
        <v>211</v>
      </c>
    </row>
    <row r="231" spans="1:8" ht="28" x14ac:dyDescent="0.15">
      <c r="A231">
        <v>465631533</v>
      </c>
      <c r="B231" t="s">
        <v>8</v>
      </c>
      <c r="C231">
        <v>20251025</v>
      </c>
      <c r="D231">
        <v>20251025</v>
      </c>
      <c r="E231" s="6">
        <v>6099.35</v>
      </c>
      <c r="F231" s="6">
        <v>6080.19</v>
      </c>
      <c r="G231" s="6">
        <v>-19.16</v>
      </c>
      <c r="H231" s="3" t="s">
        <v>212</v>
      </c>
    </row>
    <row r="232" spans="1:8" ht="28" x14ac:dyDescent="0.15">
      <c r="A232">
        <v>465631533</v>
      </c>
      <c r="B232" t="s">
        <v>8</v>
      </c>
      <c r="C232">
        <v>20251025</v>
      </c>
      <c r="D232">
        <v>20251025</v>
      </c>
      <c r="E232" s="6">
        <v>6080.19</v>
      </c>
      <c r="F232" s="6">
        <v>6077.59</v>
      </c>
      <c r="G232" s="6">
        <v>-2.6</v>
      </c>
      <c r="H232" s="3" t="s">
        <v>213</v>
      </c>
    </row>
    <row r="233" spans="1:8" ht="28" x14ac:dyDescent="0.15">
      <c r="A233">
        <v>465631533</v>
      </c>
      <c r="B233" t="s">
        <v>8</v>
      </c>
      <c r="C233">
        <v>20251025</v>
      </c>
      <c r="D233">
        <v>20251025</v>
      </c>
      <c r="E233" s="6">
        <v>6077.59</v>
      </c>
      <c r="F233" s="6">
        <v>6049.05</v>
      </c>
      <c r="G233" s="6">
        <v>-28.54</v>
      </c>
      <c r="H233" s="3" t="s">
        <v>214</v>
      </c>
    </row>
    <row r="234" spans="1:8" ht="28" x14ac:dyDescent="0.15">
      <c r="A234">
        <v>465631533</v>
      </c>
      <c r="B234" t="s">
        <v>8</v>
      </c>
      <c r="C234">
        <v>20251026</v>
      </c>
      <c r="D234">
        <v>20251026</v>
      </c>
      <c r="E234" s="6">
        <v>6049.05</v>
      </c>
      <c r="F234" s="6">
        <v>5943.57</v>
      </c>
      <c r="G234" s="6">
        <v>-105.48</v>
      </c>
      <c r="H234" s="3" t="s">
        <v>215</v>
      </c>
    </row>
    <row r="235" spans="1:8" ht="28" x14ac:dyDescent="0.15">
      <c r="A235">
        <v>465631533</v>
      </c>
      <c r="B235" t="s">
        <v>8</v>
      </c>
      <c r="C235">
        <v>20251026</v>
      </c>
      <c r="D235">
        <v>20251026</v>
      </c>
      <c r="E235" s="6">
        <v>5943.57</v>
      </c>
      <c r="F235" s="6">
        <v>5927.73</v>
      </c>
      <c r="G235" s="6">
        <v>-15.84</v>
      </c>
      <c r="H235" s="3" t="s">
        <v>216</v>
      </c>
    </row>
    <row r="236" spans="1:8" ht="42" x14ac:dyDescent="0.15">
      <c r="A236">
        <v>465631533</v>
      </c>
      <c r="B236" t="s">
        <v>8</v>
      </c>
      <c r="C236">
        <v>20251027</v>
      </c>
      <c r="D236">
        <v>20251027</v>
      </c>
      <c r="E236" s="6">
        <v>5927.73</v>
      </c>
      <c r="F236" s="6">
        <v>5912.23</v>
      </c>
      <c r="G236" s="6">
        <v>-15.5</v>
      </c>
      <c r="H236" s="3" t="s">
        <v>217</v>
      </c>
    </row>
    <row r="237" spans="1:8" ht="84" x14ac:dyDescent="0.15">
      <c r="A237">
        <v>465631533</v>
      </c>
      <c r="B237" t="s">
        <v>8</v>
      </c>
      <c r="C237">
        <v>20251027</v>
      </c>
      <c r="D237">
        <v>20251027</v>
      </c>
      <c r="E237" s="6">
        <v>5912.23</v>
      </c>
      <c r="F237" s="6">
        <v>5891.03</v>
      </c>
      <c r="G237" s="6">
        <v>-21.2</v>
      </c>
      <c r="H237" s="3" t="s">
        <v>218</v>
      </c>
    </row>
    <row r="238" spans="1:8" ht="56" x14ac:dyDescent="0.15">
      <c r="A238">
        <v>465631533</v>
      </c>
      <c r="B238" t="s">
        <v>8</v>
      </c>
      <c r="C238">
        <v>20251027</v>
      </c>
      <c r="D238">
        <v>20251027</v>
      </c>
      <c r="E238" s="6">
        <v>5891.03</v>
      </c>
      <c r="F238" s="6">
        <v>3863.2</v>
      </c>
      <c r="G238" s="6">
        <v>-2027.83</v>
      </c>
      <c r="H238" s="3" t="s">
        <v>219</v>
      </c>
    </row>
    <row r="239" spans="1:8" ht="70" x14ac:dyDescent="0.15">
      <c r="A239">
        <v>465631533</v>
      </c>
      <c r="B239" t="s">
        <v>8</v>
      </c>
      <c r="C239">
        <v>20251027</v>
      </c>
      <c r="D239">
        <v>20251027</v>
      </c>
      <c r="E239" s="6">
        <v>3863.2</v>
      </c>
      <c r="F239" s="6">
        <v>3849.2</v>
      </c>
      <c r="G239" s="6">
        <v>-14</v>
      </c>
      <c r="H239" s="3" t="s">
        <v>220</v>
      </c>
    </row>
    <row r="240" spans="1:8" ht="42" x14ac:dyDescent="0.15">
      <c r="A240">
        <v>465631533</v>
      </c>
      <c r="B240" t="s">
        <v>8</v>
      </c>
      <c r="C240">
        <v>20251027</v>
      </c>
      <c r="D240">
        <v>20251027</v>
      </c>
      <c r="E240" s="6">
        <v>3849.2</v>
      </c>
      <c r="F240" s="6">
        <v>3840.25</v>
      </c>
      <c r="G240" s="6">
        <v>-8.9499999999999993</v>
      </c>
      <c r="H240" s="3" t="s">
        <v>221</v>
      </c>
    </row>
    <row r="241" spans="1:8" ht="42" x14ac:dyDescent="0.15">
      <c r="A241">
        <v>465631533</v>
      </c>
      <c r="B241" t="s">
        <v>8</v>
      </c>
      <c r="C241">
        <v>20251027</v>
      </c>
      <c r="D241">
        <v>20251027</v>
      </c>
      <c r="E241" s="6">
        <v>3840.25</v>
      </c>
      <c r="F241" s="6">
        <v>3830.3</v>
      </c>
      <c r="G241" s="6">
        <v>-9.9499999999999993</v>
      </c>
      <c r="H241" s="3" t="s">
        <v>222</v>
      </c>
    </row>
    <row r="242" spans="1:8" ht="70" x14ac:dyDescent="0.15">
      <c r="A242">
        <v>465631533</v>
      </c>
      <c r="B242" t="s">
        <v>8</v>
      </c>
      <c r="C242">
        <v>20251027</v>
      </c>
      <c r="D242">
        <v>20251027</v>
      </c>
      <c r="E242" s="6">
        <v>3830.3</v>
      </c>
      <c r="F242" s="6">
        <v>3368.3</v>
      </c>
      <c r="G242" s="6">
        <v>-462</v>
      </c>
      <c r="H242" s="3" t="s">
        <v>223</v>
      </c>
    </row>
    <row r="243" spans="1:8" ht="70" x14ac:dyDescent="0.15">
      <c r="A243">
        <v>465631533</v>
      </c>
      <c r="B243" t="s">
        <v>8</v>
      </c>
      <c r="C243">
        <v>20251027</v>
      </c>
      <c r="D243">
        <v>20251027</v>
      </c>
      <c r="E243" s="6">
        <v>3368.3</v>
      </c>
      <c r="F243" s="6">
        <v>3336.3</v>
      </c>
      <c r="G243" s="6">
        <v>-32</v>
      </c>
      <c r="H243" s="3" t="s">
        <v>224</v>
      </c>
    </row>
    <row r="244" spans="1:8" ht="56" x14ac:dyDescent="0.15">
      <c r="A244">
        <v>465631533</v>
      </c>
      <c r="B244" t="s">
        <v>8</v>
      </c>
      <c r="C244">
        <v>20251027</v>
      </c>
      <c r="D244">
        <v>20251027</v>
      </c>
      <c r="E244" s="6">
        <v>3336.3</v>
      </c>
      <c r="F244" s="6">
        <v>2912.85</v>
      </c>
      <c r="G244" s="6">
        <v>-423.45</v>
      </c>
      <c r="H244" s="3" t="s">
        <v>225</v>
      </c>
    </row>
    <row r="245" spans="1:8" ht="56" x14ac:dyDescent="0.15">
      <c r="A245">
        <v>465631533</v>
      </c>
      <c r="B245" t="s">
        <v>8</v>
      </c>
      <c r="C245">
        <v>20251027</v>
      </c>
      <c r="D245">
        <v>20251027</v>
      </c>
      <c r="E245" s="6">
        <v>2912.85</v>
      </c>
      <c r="F245" s="6">
        <v>2792.7</v>
      </c>
      <c r="G245" s="6">
        <v>-120.15</v>
      </c>
      <c r="H245" s="3" t="s">
        <v>226</v>
      </c>
    </row>
    <row r="246" spans="1:8" ht="28" x14ac:dyDescent="0.15">
      <c r="A246">
        <v>465631533</v>
      </c>
      <c r="B246" t="s">
        <v>8</v>
      </c>
      <c r="C246">
        <v>20251027</v>
      </c>
      <c r="D246">
        <v>20251027</v>
      </c>
      <c r="E246" s="6">
        <v>2792.7</v>
      </c>
      <c r="F246" s="6">
        <v>2768.62</v>
      </c>
      <c r="G246" s="6">
        <v>-24.08</v>
      </c>
      <c r="H246" s="3" t="s">
        <v>227</v>
      </c>
    </row>
    <row r="247" spans="1:8" ht="28" x14ac:dyDescent="0.15">
      <c r="A247">
        <v>465631533</v>
      </c>
      <c r="B247" t="s">
        <v>8</v>
      </c>
      <c r="C247">
        <v>20251027</v>
      </c>
      <c r="D247">
        <v>20251027</v>
      </c>
      <c r="E247" s="6">
        <v>2768.62</v>
      </c>
      <c r="F247" s="6">
        <v>7768.62</v>
      </c>
      <c r="G247" s="6">
        <v>5000</v>
      </c>
      <c r="H247" s="3" t="s">
        <v>24</v>
      </c>
    </row>
    <row r="248" spans="1:8" ht="28" x14ac:dyDescent="0.15">
      <c r="A248">
        <v>465631533</v>
      </c>
      <c r="B248" t="s">
        <v>8</v>
      </c>
      <c r="C248">
        <v>20251027</v>
      </c>
      <c r="D248">
        <v>20251027</v>
      </c>
      <c r="E248" s="6">
        <v>7768.62</v>
      </c>
      <c r="F248" s="6">
        <v>7767.82</v>
      </c>
      <c r="G248" s="6">
        <v>-0.8</v>
      </c>
      <c r="H248" s="3" t="s">
        <v>228</v>
      </c>
    </row>
    <row r="249" spans="1:8" ht="28" x14ac:dyDescent="0.15">
      <c r="A249">
        <v>465631533</v>
      </c>
      <c r="B249" t="s">
        <v>8</v>
      </c>
      <c r="C249">
        <v>20251027</v>
      </c>
      <c r="D249">
        <v>20251027</v>
      </c>
      <c r="E249" s="6">
        <v>7767.82</v>
      </c>
      <c r="F249" s="6">
        <v>7726.54</v>
      </c>
      <c r="G249" s="6">
        <v>-41.28</v>
      </c>
      <c r="H249" s="3" t="s">
        <v>229</v>
      </c>
    </row>
    <row r="250" spans="1:8" ht="42" x14ac:dyDescent="0.15">
      <c r="A250">
        <v>465631533</v>
      </c>
      <c r="B250" t="s">
        <v>8</v>
      </c>
      <c r="C250">
        <v>20251027</v>
      </c>
      <c r="D250">
        <v>20251027</v>
      </c>
      <c r="E250" s="6">
        <v>7726.54</v>
      </c>
      <c r="F250" s="6">
        <v>5517.54</v>
      </c>
      <c r="G250" s="6">
        <v>-2209</v>
      </c>
      <c r="H250" s="3" t="s">
        <v>230</v>
      </c>
    </row>
    <row r="251" spans="1:8" ht="56" x14ac:dyDescent="0.15">
      <c r="A251">
        <v>465631533</v>
      </c>
      <c r="B251" t="s">
        <v>8</v>
      </c>
      <c r="C251">
        <v>20251028</v>
      </c>
      <c r="D251">
        <v>20251028</v>
      </c>
      <c r="E251" s="6">
        <v>5517.54</v>
      </c>
      <c r="F251" s="6">
        <v>5455.79</v>
      </c>
      <c r="G251" s="6">
        <v>-61.75</v>
      </c>
      <c r="H251" s="3" t="s">
        <v>231</v>
      </c>
    </row>
    <row r="252" spans="1:8" ht="28" x14ac:dyDescent="0.15">
      <c r="A252">
        <v>465631533</v>
      </c>
      <c r="B252" t="s">
        <v>8</v>
      </c>
      <c r="C252">
        <v>20251028</v>
      </c>
      <c r="D252">
        <v>20251028</v>
      </c>
      <c r="E252" s="6">
        <v>5455.79</v>
      </c>
      <c r="F252" s="6">
        <v>5415.26</v>
      </c>
      <c r="G252" s="6">
        <v>-40.53</v>
      </c>
      <c r="H252" s="3" t="s">
        <v>232</v>
      </c>
    </row>
    <row r="253" spans="1:8" ht="84" x14ac:dyDescent="0.15">
      <c r="A253">
        <v>465631533</v>
      </c>
      <c r="B253" t="s">
        <v>8</v>
      </c>
      <c r="C253">
        <v>20251029</v>
      </c>
      <c r="D253">
        <v>20251029</v>
      </c>
      <c r="E253" s="6">
        <v>5415.26</v>
      </c>
      <c r="F253" s="6">
        <v>5258.29</v>
      </c>
      <c r="G253" s="6">
        <v>-156.97</v>
      </c>
      <c r="H253" s="3" t="s">
        <v>233</v>
      </c>
    </row>
    <row r="254" spans="1:8" ht="42" x14ac:dyDescent="0.15">
      <c r="A254">
        <v>465631533</v>
      </c>
      <c r="B254" t="s">
        <v>8</v>
      </c>
      <c r="C254">
        <v>20251029</v>
      </c>
      <c r="D254">
        <v>20251029</v>
      </c>
      <c r="E254" s="6">
        <v>5258.29</v>
      </c>
      <c r="F254" s="6">
        <v>5243.43</v>
      </c>
      <c r="G254" s="6">
        <v>-14.86</v>
      </c>
      <c r="H254" s="3" t="s">
        <v>234</v>
      </c>
    </row>
    <row r="255" spans="1:8" ht="42" x14ac:dyDescent="0.15">
      <c r="A255">
        <v>465631533</v>
      </c>
      <c r="B255" t="s">
        <v>8</v>
      </c>
      <c r="C255">
        <v>20251029</v>
      </c>
      <c r="D255">
        <v>20251029</v>
      </c>
      <c r="E255" s="6">
        <v>5243.43</v>
      </c>
      <c r="F255" s="6">
        <v>5240.4399999999996</v>
      </c>
      <c r="G255" s="6">
        <v>-2.99</v>
      </c>
      <c r="H255" s="3" t="s">
        <v>235</v>
      </c>
    </row>
    <row r="256" spans="1:8" ht="42" x14ac:dyDescent="0.15">
      <c r="A256">
        <v>465631533</v>
      </c>
      <c r="B256" t="s">
        <v>8</v>
      </c>
      <c r="C256">
        <v>20251029</v>
      </c>
      <c r="D256">
        <v>20251029</v>
      </c>
      <c r="E256" s="6">
        <v>5240.4399999999996</v>
      </c>
      <c r="F256" s="6">
        <v>5201.54</v>
      </c>
      <c r="G256" s="6">
        <v>-38.9</v>
      </c>
      <c r="H256" s="3" t="s">
        <v>236</v>
      </c>
    </row>
    <row r="257" spans="1:8" ht="28" x14ac:dyDescent="0.15">
      <c r="A257">
        <v>465631533</v>
      </c>
      <c r="B257" t="s">
        <v>8</v>
      </c>
      <c r="C257">
        <v>20251029</v>
      </c>
      <c r="D257">
        <v>20251029</v>
      </c>
      <c r="E257" s="6">
        <v>5201.54</v>
      </c>
      <c r="F257" s="6">
        <v>5086.54</v>
      </c>
      <c r="G257" s="6">
        <v>-115</v>
      </c>
      <c r="H257" s="3" t="s">
        <v>237</v>
      </c>
    </row>
    <row r="258" spans="1:8" ht="28" x14ac:dyDescent="0.15">
      <c r="A258">
        <v>465631533</v>
      </c>
      <c r="B258" t="s">
        <v>8</v>
      </c>
      <c r="C258">
        <v>20251029</v>
      </c>
      <c r="D258">
        <v>20251029</v>
      </c>
      <c r="E258" s="6">
        <v>5086.54</v>
      </c>
      <c r="F258" s="6">
        <v>5058.1400000000003</v>
      </c>
      <c r="G258" s="6">
        <v>-28.4</v>
      </c>
      <c r="H258" s="3" t="s">
        <v>238</v>
      </c>
    </row>
    <row r="259" spans="1:8" ht="28" x14ac:dyDescent="0.15">
      <c r="A259">
        <v>465631533</v>
      </c>
      <c r="B259" t="s">
        <v>8</v>
      </c>
      <c r="C259">
        <v>20251029</v>
      </c>
      <c r="D259">
        <v>20251029</v>
      </c>
      <c r="E259" s="6">
        <v>5058.1400000000003</v>
      </c>
      <c r="F259" s="6">
        <v>5049.74</v>
      </c>
      <c r="G259" s="6">
        <v>-8.4</v>
      </c>
      <c r="H259" s="3" t="s">
        <v>239</v>
      </c>
    </row>
    <row r="260" spans="1:8" ht="28" x14ac:dyDescent="0.15">
      <c r="A260">
        <v>465631533</v>
      </c>
      <c r="B260" t="s">
        <v>8</v>
      </c>
      <c r="C260">
        <v>20251029</v>
      </c>
      <c r="D260">
        <v>20251029</v>
      </c>
      <c r="E260" s="6">
        <v>5049.74</v>
      </c>
      <c r="F260" s="6">
        <v>5005.8599999999997</v>
      </c>
      <c r="G260" s="6">
        <v>-43.88</v>
      </c>
      <c r="H260" s="3" t="s">
        <v>240</v>
      </c>
    </row>
    <row r="261" spans="1:8" ht="56" x14ac:dyDescent="0.15">
      <c r="A261">
        <v>465631533</v>
      </c>
      <c r="B261" t="s">
        <v>8</v>
      </c>
      <c r="C261">
        <v>20251030</v>
      </c>
      <c r="D261">
        <v>20251030</v>
      </c>
      <c r="E261" s="6">
        <v>5005.8599999999997</v>
      </c>
      <c r="F261" s="6">
        <v>4812.92</v>
      </c>
      <c r="G261" s="6">
        <v>-192.94</v>
      </c>
      <c r="H261" s="3" t="s">
        <v>241</v>
      </c>
    </row>
    <row r="262" spans="1:8" ht="28" x14ac:dyDescent="0.15">
      <c r="A262">
        <v>465631533</v>
      </c>
      <c r="B262" t="s">
        <v>8</v>
      </c>
      <c r="C262">
        <v>20251030</v>
      </c>
      <c r="D262">
        <v>20251030</v>
      </c>
      <c r="E262" s="6">
        <v>4812.92</v>
      </c>
      <c r="F262" s="6">
        <v>4805.42</v>
      </c>
      <c r="G262" s="6">
        <v>-7.5</v>
      </c>
      <c r="H262" s="3" t="s">
        <v>242</v>
      </c>
    </row>
    <row r="263" spans="1:8" ht="28" x14ac:dyDescent="0.15">
      <c r="A263">
        <v>465631533</v>
      </c>
      <c r="B263" t="s">
        <v>8</v>
      </c>
      <c r="C263">
        <v>20251030</v>
      </c>
      <c r="D263">
        <v>20251030</v>
      </c>
      <c r="E263" s="6">
        <v>4805.42</v>
      </c>
      <c r="F263" s="6">
        <v>4772.4399999999996</v>
      </c>
      <c r="G263" s="6">
        <v>-32.979999999999997</v>
      </c>
      <c r="H263" s="3" t="s">
        <v>243</v>
      </c>
    </row>
    <row r="264" spans="1:8" ht="28" x14ac:dyDescent="0.15">
      <c r="A264">
        <v>465631533</v>
      </c>
      <c r="B264" t="s">
        <v>8</v>
      </c>
      <c r="C264">
        <v>20251030</v>
      </c>
      <c r="D264">
        <v>20251030</v>
      </c>
      <c r="E264" s="6">
        <v>4772.4399999999996</v>
      </c>
      <c r="F264" s="6">
        <v>4754.68</v>
      </c>
      <c r="G264" s="6">
        <v>-17.760000000000002</v>
      </c>
      <c r="H264" s="3" t="s">
        <v>244</v>
      </c>
    </row>
    <row r="265" spans="1:8" ht="28" x14ac:dyDescent="0.15">
      <c r="A265">
        <v>465631533</v>
      </c>
      <c r="B265" t="s">
        <v>8</v>
      </c>
      <c r="C265">
        <v>20251030</v>
      </c>
      <c r="D265">
        <v>20251030</v>
      </c>
      <c r="E265" s="6">
        <v>4754.68</v>
      </c>
      <c r="F265" s="6">
        <v>4657.5600000000004</v>
      </c>
      <c r="G265" s="6">
        <v>-97.12</v>
      </c>
      <c r="H265" s="3" t="s">
        <v>245</v>
      </c>
    </row>
    <row r="266" spans="1:8" ht="28" x14ac:dyDescent="0.15">
      <c r="A266">
        <v>465631533</v>
      </c>
      <c r="B266" t="s">
        <v>8</v>
      </c>
      <c r="C266">
        <v>20251030</v>
      </c>
      <c r="D266">
        <v>20251030</v>
      </c>
      <c r="E266" s="6">
        <v>4657.5600000000004</v>
      </c>
      <c r="F266" s="6">
        <v>4599.03</v>
      </c>
      <c r="G266" s="6">
        <v>-58.53</v>
      </c>
      <c r="H266" s="3" t="s">
        <v>246</v>
      </c>
    </row>
    <row r="267" spans="1:8" ht="28" x14ac:dyDescent="0.15">
      <c r="A267">
        <v>465631533</v>
      </c>
      <c r="B267" t="s">
        <v>8</v>
      </c>
      <c r="C267">
        <v>20251031</v>
      </c>
      <c r="D267">
        <v>20251031</v>
      </c>
      <c r="E267" s="6">
        <v>4599.03</v>
      </c>
      <c r="F267" s="6">
        <v>4590.43</v>
      </c>
      <c r="G267" s="6">
        <v>-8.6</v>
      </c>
      <c r="H267" s="3" t="s">
        <v>247</v>
      </c>
    </row>
    <row r="268" spans="1:8" ht="28" x14ac:dyDescent="0.15">
      <c r="A268">
        <v>465631533</v>
      </c>
      <c r="B268" t="s">
        <v>8</v>
      </c>
      <c r="C268">
        <v>20251031</v>
      </c>
      <c r="D268">
        <v>20251031</v>
      </c>
      <c r="E268" s="6">
        <v>4590.43</v>
      </c>
      <c r="F268" s="6">
        <v>4566.04</v>
      </c>
      <c r="G268" s="6">
        <v>-24.39</v>
      </c>
      <c r="H268" s="3" t="s">
        <v>248</v>
      </c>
    </row>
    <row r="269" spans="1:8" ht="28" x14ac:dyDescent="0.15">
      <c r="A269">
        <v>465631533</v>
      </c>
      <c r="B269" t="s">
        <v>8</v>
      </c>
      <c r="C269">
        <v>20251031</v>
      </c>
      <c r="D269">
        <v>20251031</v>
      </c>
      <c r="E269" s="6">
        <v>4566.04</v>
      </c>
      <c r="F269" s="6">
        <v>4559.8599999999997</v>
      </c>
      <c r="G269" s="6">
        <v>-6.18</v>
      </c>
      <c r="H269" s="3" t="s">
        <v>249</v>
      </c>
    </row>
    <row r="270" spans="1:8" ht="28" x14ac:dyDescent="0.15">
      <c r="A270">
        <v>465631533</v>
      </c>
      <c r="B270" t="s">
        <v>8</v>
      </c>
      <c r="C270">
        <v>20251031</v>
      </c>
      <c r="D270">
        <v>20251031</v>
      </c>
      <c r="E270" s="6">
        <v>4559.8599999999997</v>
      </c>
      <c r="F270" s="6">
        <v>4541.1099999999997</v>
      </c>
      <c r="G270" s="6">
        <v>-18.75</v>
      </c>
      <c r="H270" s="3" t="s">
        <v>250</v>
      </c>
    </row>
    <row r="271" spans="1:8" ht="56" x14ac:dyDescent="0.15">
      <c r="A271">
        <v>465631533</v>
      </c>
      <c r="B271" t="s">
        <v>8</v>
      </c>
      <c r="C271">
        <v>20251101</v>
      </c>
      <c r="D271">
        <v>20251101</v>
      </c>
      <c r="E271" s="6">
        <v>4541.1099999999997</v>
      </c>
      <c r="F271" s="6">
        <v>4460.1099999999997</v>
      </c>
      <c r="G271" s="6">
        <v>-81</v>
      </c>
      <c r="H271" s="3" t="s">
        <v>251</v>
      </c>
    </row>
    <row r="272" spans="1:8" ht="56" x14ac:dyDescent="0.15">
      <c r="A272">
        <v>465631533</v>
      </c>
      <c r="B272" t="s">
        <v>8</v>
      </c>
      <c r="C272">
        <v>20251101</v>
      </c>
      <c r="D272">
        <v>20251101</v>
      </c>
      <c r="E272" s="6">
        <v>4460.1099999999997</v>
      </c>
      <c r="F272" s="6">
        <v>4379.1099999999997</v>
      </c>
      <c r="G272" s="6">
        <v>-81</v>
      </c>
      <c r="H272" s="3" t="s">
        <v>252</v>
      </c>
    </row>
    <row r="273" spans="1:8" ht="28" x14ac:dyDescent="0.15">
      <c r="A273">
        <v>465631533</v>
      </c>
      <c r="B273" t="s">
        <v>8</v>
      </c>
      <c r="C273">
        <v>20251101</v>
      </c>
      <c r="D273">
        <v>20251101</v>
      </c>
      <c r="E273" s="6">
        <v>4379.1099999999997</v>
      </c>
      <c r="F273" s="6">
        <v>4300.3599999999997</v>
      </c>
      <c r="G273" s="6">
        <v>-78.75</v>
      </c>
      <c r="H273" s="3" t="s">
        <v>253</v>
      </c>
    </row>
    <row r="274" spans="1:8" ht="28" x14ac:dyDescent="0.15">
      <c r="A274">
        <v>465631533</v>
      </c>
      <c r="B274" t="s">
        <v>8</v>
      </c>
      <c r="C274">
        <v>20251102</v>
      </c>
      <c r="D274">
        <v>20251102</v>
      </c>
      <c r="E274" s="6">
        <v>4300.3599999999997</v>
      </c>
      <c r="F274" s="6">
        <v>4211.5600000000004</v>
      </c>
      <c r="G274" s="6">
        <v>-88.8</v>
      </c>
      <c r="H274" s="3" t="s">
        <v>254</v>
      </c>
    </row>
    <row r="275" spans="1:8" ht="42" x14ac:dyDescent="0.15">
      <c r="A275">
        <v>465631533</v>
      </c>
      <c r="B275" t="s">
        <v>8</v>
      </c>
      <c r="C275">
        <v>20251103</v>
      </c>
      <c r="D275">
        <v>20251103</v>
      </c>
      <c r="E275" s="6">
        <v>4211.5600000000004</v>
      </c>
      <c r="F275" s="6">
        <v>839.11</v>
      </c>
      <c r="G275" s="6">
        <v>-3372.45</v>
      </c>
      <c r="H275" s="3" t="s">
        <v>255</v>
      </c>
    </row>
    <row r="276" spans="1:8" ht="56" x14ac:dyDescent="0.15">
      <c r="A276">
        <v>465631533</v>
      </c>
      <c r="B276" t="s">
        <v>8</v>
      </c>
      <c r="C276">
        <v>20251103</v>
      </c>
      <c r="D276">
        <v>20251103</v>
      </c>
      <c r="E276" s="6">
        <v>839.11</v>
      </c>
      <c r="F276" s="6">
        <v>823.61</v>
      </c>
      <c r="G276" s="6">
        <v>-15.5</v>
      </c>
      <c r="H276" s="3" t="s">
        <v>256</v>
      </c>
    </row>
    <row r="277" spans="1:8" ht="42" x14ac:dyDescent="0.15">
      <c r="A277">
        <v>465631533</v>
      </c>
      <c r="B277" t="s">
        <v>8</v>
      </c>
      <c r="C277">
        <v>20251103</v>
      </c>
      <c r="D277">
        <v>20251103</v>
      </c>
      <c r="E277" s="6">
        <v>823.61</v>
      </c>
      <c r="F277" s="6">
        <v>799.61</v>
      </c>
      <c r="G277" s="6">
        <v>-24</v>
      </c>
      <c r="H277" s="3" t="s">
        <v>257</v>
      </c>
    </row>
    <row r="278" spans="1:8" ht="42" x14ac:dyDescent="0.15">
      <c r="A278">
        <v>465631533</v>
      </c>
      <c r="B278" t="s">
        <v>8</v>
      </c>
      <c r="C278">
        <v>20251103</v>
      </c>
      <c r="D278">
        <v>20251103</v>
      </c>
      <c r="E278" s="6">
        <v>799.61</v>
      </c>
      <c r="F278" s="6">
        <v>769.11</v>
      </c>
      <c r="G278" s="6">
        <v>-30.5</v>
      </c>
      <c r="H278" s="3" t="s">
        <v>258</v>
      </c>
    </row>
    <row r="279" spans="1:8" ht="42" x14ac:dyDescent="0.15">
      <c r="A279">
        <v>465631533</v>
      </c>
      <c r="B279" t="s">
        <v>8</v>
      </c>
      <c r="C279">
        <v>20251103</v>
      </c>
      <c r="D279">
        <v>20251103</v>
      </c>
      <c r="E279" s="6">
        <v>769.11</v>
      </c>
      <c r="F279" s="6">
        <v>688.11</v>
      </c>
      <c r="G279" s="6">
        <v>-81</v>
      </c>
      <c r="H279" s="3" t="s">
        <v>259</v>
      </c>
    </row>
    <row r="280" spans="1:8" ht="42" x14ac:dyDescent="0.15">
      <c r="A280">
        <v>465631533</v>
      </c>
      <c r="B280" t="s">
        <v>8</v>
      </c>
      <c r="C280">
        <v>20251103</v>
      </c>
      <c r="D280">
        <v>20251103</v>
      </c>
      <c r="E280" s="6">
        <v>688.11</v>
      </c>
      <c r="F280" s="6">
        <v>688.07</v>
      </c>
      <c r="G280" s="6">
        <v>-0.04</v>
      </c>
      <c r="H280" s="3" t="s">
        <v>260</v>
      </c>
    </row>
    <row r="281" spans="1:8" ht="14" x14ac:dyDescent="0.15">
      <c r="A281">
        <v>465631533</v>
      </c>
      <c r="B281" t="s">
        <v>8</v>
      </c>
      <c r="C281">
        <v>20251103</v>
      </c>
      <c r="D281">
        <v>20251103</v>
      </c>
      <c r="E281" s="6">
        <v>688.07</v>
      </c>
      <c r="F281" s="6">
        <v>489.07</v>
      </c>
      <c r="G281" s="6">
        <v>-199</v>
      </c>
      <c r="H281" s="3" t="s">
        <v>261</v>
      </c>
    </row>
    <row r="282" spans="1:8" ht="28" x14ac:dyDescent="0.15">
      <c r="A282">
        <v>465631533</v>
      </c>
      <c r="B282" t="s">
        <v>8</v>
      </c>
      <c r="C282">
        <v>20251104</v>
      </c>
      <c r="D282">
        <v>20251104</v>
      </c>
      <c r="E282" s="6">
        <v>489.07</v>
      </c>
      <c r="F282" s="6">
        <v>463.34</v>
      </c>
      <c r="G282" s="6">
        <v>-25.73</v>
      </c>
      <c r="H282" s="3" t="s">
        <v>262</v>
      </c>
    </row>
    <row r="283" spans="1:8" ht="42" x14ac:dyDescent="0.15">
      <c r="A283">
        <v>465631533</v>
      </c>
      <c r="B283" t="s">
        <v>8</v>
      </c>
      <c r="C283">
        <v>20251104</v>
      </c>
      <c r="D283">
        <v>20251104</v>
      </c>
      <c r="E283" s="6">
        <v>463.34</v>
      </c>
      <c r="F283" s="6">
        <v>417.84</v>
      </c>
      <c r="G283" s="6">
        <v>-45.5</v>
      </c>
      <c r="H283" s="3" t="s">
        <v>263</v>
      </c>
    </row>
    <row r="284" spans="1:8" ht="28" x14ac:dyDescent="0.15">
      <c r="A284">
        <v>465631533</v>
      </c>
      <c r="B284" t="s">
        <v>8</v>
      </c>
      <c r="C284">
        <v>20251104</v>
      </c>
      <c r="D284">
        <v>20251104</v>
      </c>
      <c r="E284" s="6">
        <v>417.84</v>
      </c>
      <c r="F284" s="6">
        <v>295.99</v>
      </c>
      <c r="G284" s="6">
        <v>-121.85</v>
      </c>
      <c r="H284" s="3" t="s">
        <v>264</v>
      </c>
    </row>
    <row r="285" spans="1:8" ht="28" x14ac:dyDescent="0.15">
      <c r="A285">
        <v>465631533</v>
      </c>
      <c r="B285" t="s">
        <v>8</v>
      </c>
      <c r="C285">
        <v>20251104</v>
      </c>
      <c r="D285">
        <v>20251104</v>
      </c>
      <c r="E285" s="6">
        <v>295.99</v>
      </c>
      <c r="F285" s="6">
        <v>795.99</v>
      </c>
      <c r="G285" s="6">
        <v>500</v>
      </c>
      <c r="H285" s="3" t="s">
        <v>24</v>
      </c>
    </row>
    <row r="286" spans="1:8" ht="42" x14ac:dyDescent="0.15">
      <c r="A286">
        <v>465631533</v>
      </c>
      <c r="B286" t="s">
        <v>8</v>
      </c>
      <c r="C286">
        <v>20251104</v>
      </c>
      <c r="D286">
        <v>20251104</v>
      </c>
      <c r="E286" s="6">
        <v>795.99</v>
      </c>
      <c r="F286" s="6">
        <v>396.08</v>
      </c>
      <c r="G286" s="6">
        <v>-399.91</v>
      </c>
      <c r="H286" s="3" t="s">
        <v>265</v>
      </c>
    </row>
    <row r="287" spans="1:8" ht="28" x14ac:dyDescent="0.15">
      <c r="A287">
        <v>465631533</v>
      </c>
      <c r="B287" t="s">
        <v>8</v>
      </c>
      <c r="C287">
        <v>20251105</v>
      </c>
      <c r="D287">
        <v>20251105</v>
      </c>
      <c r="E287" s="6">
        <v>396.08</v>
      </c>
      <c r="F287" s="6">
        <v>384.53</v>
      </c>
      <c r="G287" s="6">
        <v>-11.55</v>
      </c>
      <c r="H287" s="3" t="s">
        <v>266</v>
      </c>
    </row>
    <row r="288" spans="1:8" ht="28" x14ac:dyDescent="0.15">
      <c r="A288">
        <v>465631533</v>
      </c>
      <c r="B288" t="s">
        <v>8</v>
      </c>
      <c r="C288">
        <v>20251105</v>
      </c>
      <c r="D288">
        <v>20251105</v>
      </c>
      <c r="E288" s="6">
        <v>384.53</v>
      </c>
      <c r="F288" s="6">
        <v>378.13</v>
      </c>
      <c r="G288" s="6">
        <v>-6.4</v>
      </c>
      <c r="H288" s="3" t="s">
        <v>267</v>
      </c>
    </row>
    <row r="289" spans="1:8" ht="28" x14ac:dyDescent="0.15">
      <c r="A289">
        <v>465631533</v>
      </c>
      <c r="B289" t="s">
        <v>8</v>
      </c>
      <c r="C289">
        <v>20251105</v>
      </c>
      <c r="D289">
        <v>20251105</v>
      </c>
      <c r="E289" s="6">
        <v>378.13</v>
      </c>
      <c r="F289" s="6">
        <v>109.63</v>
      </c>
      <c r="G289" s="6">
        <v>-268.5</v>
      </c>
      <c r="H289" s="3" t="s">
        <v>268</v>
      </c>
    </row>
    <row r="290" spans="1:8" ht="28" x14ac:dyDescent="0.15">
      <c r="A290">
        <v>465631533</v>
      </c>
      <c r="B290" t="s">
        <v>8</v>
      </c>
      <c r="C290">
        <v>20251105</v>
      </c>
      <c r="D290">
        <v>20251105</v>
      </c>
      <c r="E290" s="6">
        <v>109.63</v>
      </c>
      <c r="F290" s="6">
        <v>96.63</v>
      </c>
      <c r="G290" s="6">
        <v>-13</v>
      </c>
      <c r="H290" s="3" t="s">
        <v>269</v>
      </c>
    </row>
    <row r="291" spans="1:8" ht="28" x14ac:dyDescent="0.15">
      <c r="A291">
        <v>465631533</v>
      </c>
      <c r="B291" t="s">
        <v>8</v>
      </c>
      <c r="C291">
        <v>20251106</v>
      </c>
      <c r="D291">
        <v>20251106</v>
      </c>
      <c r="E291" s="6">
        <v>96.63</v>
      </c>
      <c r="F291" s="6">
        <v>79.989999999999995</v>
      </c>
      <c r="G291" s="6">
        <v>-16.64</v>
      </c>
      <c r="H291" s="3" t="s">
        <v>270</v>
      </c>
    </row>
    <row r="292" spans="1:8" ht="28" x14ac:dyDescent="0.15">
      <c r="A292">
        <v>465631533</v>
      </c>
      <c r="B292" t="s">
        <v>8</v>
      </c>
      <c r="C292">
        <v>20251107</v>
      </c>
      <c r="D292">
        <v>20251107</v>
      </c>
      <c r="E292" s="6">
        <v>79.989999999999995</v>
      </c>
      <c r="F292" s="6">
        <v>61.79</v>
      </c>
      <c r="G292" s="6">
        <v>-18.2</v>
      </c>
      <c r="H292" s="3" t="s">
        <v>271</v>
      </c>
    </row>
    <row r="293" spans="1:8" ht="28" x14ac:dyDescent="0.15">
      <c r="A293">
        <v>465631533</v>
      </c>
      <c r="B293" t="s">
        <v>8</v>
      </c>
      <c r="C293">
        <v>20251107</v>
      </c>
      <c r="D293">
        <v>20251107</v>
      </c>
      <c r="E293" s="6">
        <v>61.79</v>
      </c>
      <c r="F293" s="6">
        <v>357.79</v>
      </c>
      <c r="G293" s="6">
        <v>296</v>
      </c>
      <c r="H293" s="3" t="s">
        <v>272</v>
      </c>
    </row>
    <row r="294" spans="1:8" ht="56" x14ac:dyDescent="0.15">
      <c r="A294">
        <v>465631533</v>
      </c>
      <c r="B294" t="s">
        <v>8</v>
      </c>
      <c r="C294">
        <v>20251107</v>
      </c>
      <c r="D294">
        <v>20251107</v>
      </c>
      <c r="E294" s="6">
        <v>357.79</v>
      </c>
      <c r="F294" s="6">
        <v>230.99</v>
      </c>
      <c r="G294" s="6">
        <v>-126.8</v>
      </c>
      <c r="H294" s="3" t="s">
        <v>273</v>
      </c>
    </row>
    <row r="295" spans="1:8" ht="28" x14ac:dyDescent="0.15">
      <c r="A295">
        <v>465631533</v>
      </c>
      <c r="B295" t="s">
        <v>8</v>
      </c>
      <c r="C295">
        <v>20251107</v>
      </c>
      <c r="D295">
        <v>20251107</v>
      </c>
      <c r="E295" s="6">
        <v>230.99</v>
      </c>
      <c r="F295" s="6">
        <v>149.94</v>
      </c>
      <c r="G295" s="6">
        <v>-81.05</v>
      </c>
      <c r="H295" s="3" t="s">
        <v>274</v>
      </c>
    </row>
    <row r="296" spans="1:8" ht="28" x14ac:dyDescent="0.15">
      <c r="A296">
        <v>465631533</v>
      </c>
      <c r="B296" t="s">
        <v>8</v>
      </c>
      <c r="C296">
        <v>20251107</v>
      </c>
      <c r="D296">
        <v>20251107</v>
      </c>
      <c r="E296" s="6">
        <v>149.94</v>
      </c>
      <c r="F296" s="6">
        <v>118.12</v>
      </c>
      <c r="G296" s="6">
        <v>-31.82</v>
      </c>
      <c r="H296" s="3" t="s">
        <v>275</v>
      </c>
    </row>
    <row r="297" spans="1:8" ht="42" x14ac:dyDescent="0.15">
      <c r="A297">
        <v>465631533</v>
      </c>
      <c r="B297" t="s">
        <v>8</v>
      </c>
      <c r="C297">
        <v>20251108</v>
      </c>
      <c r="D297">
        <v>20251108</v>
      </c>
      <c r="E297" s="6">
        <v>118.12</v>
      </c>
      <c r="F297" s="6">
        <v>53.67</v>
      </c>
      <c r="G297" s="6">
        <v>-64.45</v>
      </c>
      <c r="H297" s="3" t="s">
        <v>276</v>
      </c>
    </row>
    <row r="298" spans="1:8" ht="42" x14ac:dyDescent="0.15">
      <c r="A298">
        <v>465631533</v>
      </c>
      <c r="B298" t="s">
        <v>8</v>
      </c>
      <c r="C298">
        <v>20251108</v>
      </c>
      <c r="D298">
        <v>20251108</v>
      </c>
      <c r="E298" s="6">
        <v>53.67</v>
      </c>
      <c r="F298" s="6">
        <v>41.17</v>
      </c>
      <c r="G298" s="6">
        <v>-12.5</v>
      </c>
      <c r="H298" s="3" t="s">
        <v>277</v>
      </c>
    </row>
    <row r="299" spans="1:8" ht="42" x14ac:dyDescent="0.15">
      <c r="A299">
        <v>465631533</v>
      </c>
      <c r="B299" t="s">
        <v>8</v>
      </c>
      <c r="C299">
        <v>20251108</v>
      </c>
      <c r="D299">
        <v>20251108</v>
      </c>
      <c r="E299" s="6">
        <v>41.17</v>
      </c>
      <c r="F299" s="6">
        <v>30.17</v>
      </c>
      <c r="G299" s="6">
        <v>-11</v>
      </c>
      <c r="H299" s="3" t="s">
        <v>278</v>
      </c>
    </row>
    <row r="300" spans="1:8" ht="28" x14ac:dyDescent="0.15">
      <c r="A300">
        <v>465631533</v>
      </c>
      <c r="B300" t="s">
        <v>8</v>
      </c>
      <c r="C300">
        <v>20251109</v>
      </c>
      <c r="D300">
        <v>20251109</v>
      </c>
      <c r="E300" s="6">
        <v>30.17</v>
      </c>
      <c r="F300" s="6">
        <v>26.38</v>
      </c>
      <c r="G300" s="6">
        <v>-3.79</v>
      </c>
      <c r="H300" s="3" t="s">
        <v>279</v>
      </c>
    </row>
    <row r="301" spans="1:8" ht="56" x14ac:dyDescent="0.15">
      <c r="A301">
        <v>465631533</v>
      </c>
      <c r="B301" t="s">
        <v>8</v>
      </c>
      <c r="C301">
        <v>20251111</v>
      </c>
      <c r="D301">
        <v>20251111</v>
      </c>
      <c r="E301" s="6">
        <v>26.38</v>
      </c>
      <c r="F301" s="6">
        <v>15.66</v>
      </c>
      <c r="G301" s="6">
        <v>-10.72</v>
      </c>
      <c r="H301" s="3" t="s">
        <v>280</v>
      </c>
    </row>
    <row r="302" spans="1:8" ht="28" x14ac:dyDescent="0.15">
      <c r="A302">
        <v>465631533</v>
      </c>
      <c r="B302" t="s">
        <v>8</v>
      </c>
      <c r="C302">
        <v>20251115</v>
      </c>
      <c r="D302">
        <v>20251115</v>
      </c>
      <c r="E302" s="6">
        <v>15.66</v>
      </c>
      <c r="F302" s="6">
        <v>1015.66</v>
      </c>
      <c r="G302" s="6">
        <v>1000</v>
      </c>
      <c r="H302" s="3" t="s">
        <v>24</v>
      </c>
    </row>
    <row r="303" spans="1:8" ht="56" x14ac:dyDescent="0.15">
      <c r="A303">
        <v>465631533</v>
      </c>
      <c r="B303" t="s">
        <v>8</v>
      </c>
      <c r="C303">
        <v>20251115</v>
      </c>
      <c r="D303">
        <v>20251115</v>
      </c>
      <c r="E303" s="6">
        <v>1015.66</v>
      </c>
      <c r="F303" s="6">
        <v>988.58</v>
      </c>
      <c r="G303" s="6">
        <v>-27.08</v>
      </c>
      <c r="H303" s="3" t="s">
        <v>281</v>
      </c>
    </row>
    <row r="304" spans="1:8" ht="28" x14ac:dyDescent="0.15">
      <c r="A304">
        <v>465631533</v>
      </c>
      <c r="B304" t="s">
        <v>8</v>
      </c>
      <c r="C304">
        <v>20251115</v>
      </c>
      <c r="D304">
        <v>20251115</v>
      </c>
      <c r="E304" s="6">
        <v>988.58</v>
      </c>
      <c r="F304" s="6">
        <v>838.58</v>
      </c>
      <c r="G304" s="6">
        <v>-150</v>
      </c>
      <c r="H304" s="3" t="s">
        <v>282</v>
      </c>
    </row>
    <row r="305" spans="1:8" ht="28" x14ac:dyDescent="0.15">
      <c r="A305">
        <v>465631533</v>
      </c>
      <c r="B305" t="s">
        <v>8</v>
      </c>
      <c r="C305">
        <v>20251116</v>
      </c>
      <c r="D305">
        <v>20251116</v>
      </c>
      <c r="E305" s="6">
        <v>838.58</v>
      </c>
      <c r="F305" s="6">
        <v>780.22</v>
      </c>
      <c r="G305" s="6">
        <v>-58.36</v>
      </c>
      <c r="H305" s="3" t="s">
        <v>283</v>
      </c>
    </row>
    <row r="306" spans="1:8" ht="28" x14ac:dyDescent="0.15">
      <c r="A306">
        <v>465631533</v>
      </c>
      <c r="B306" t="s">
        <v>8</v>
      </c>
      <c r="C306">
        <v>20251116</v>
      </c>
      <c r="D306">
        <v>20251116</v>
      </c>
      <c r="E306" s="6">
        <v>780.22</v>
      </c>
      <c r="F306" s="6">
        <v>688.53</v>
      </c>
      <c r="G306" s="6">
        <v>-91.69</v>
      </c>
      <c r="H306" s="3" t="s">
        <v>284</v>
      </c>
    </row>
    <row r="307" spans="1:8" ht="56" x14ac:dyDescent="0.15">
      <c r="A307">
        <v>465631533</v>
      </c>
      <c r="B307" t="s">
        <v>8</v>
      </c>
      <c r="C307">
        <v>20251117</v>
      </c>
      <c r="D307">
        <v>20251117</v>
      </c>
      <c r="E307" s="6">
        <v>688.53</v>
      </c>
      <c r="F307" s="6">
        <v>674.08</v>
      </c>
      <c r="G307" s="6">
        <v>-14.45</v>
      </c>
      <c r="H307" s="3" t="s">
        <v>285</v>
      </c>
    </row>
    <row r="308" spans="1:8" ht="56" x14ac:dyDescent="0.15">
      <c r="A308">
        <v>465631533</v>
      </c>
      <c r="B308" t="s">
        <v>8</v>
      </c>
      <c r="C308">
        <v>20251117</v>
      </c>
      <c r="D308">
        <v>20251117</v>
      </c>
      <c r="E308" s="6">
        <v>674.08</v>
      </c>
      <c r="F308" s="6">
        <v>890.08</v>
      </c>
      <c r="G308" s="6">
        <v>216</v>
      </c>
      <c r="H308" s="3" t="s">
        <v>286</v>
      </c>
    </row>
    <row r="309" spans="1:8" ht="28" x14ac:dyDescent="0.15">
      <c r="A309">
        <v>465631533</v>
      </c>
      <c r="B309" t="s">
        <v>8</v>
      </c>
      <c r="C309">
        <v>20251117</v>
      </c>
      <c r="D309">
        <v>20251117</v>
      </c>
      <c r="E309" s="6">
        <v>890.08</v>
      </c>
      <c r="F309" s="6">
        <v>882.73</v>
      </c>
      <c r="G309" s="6">
        <v>-7.35</v>
      </c>
      <c r="H309" s="3" t="s">
        <v>57</v>
      </c>
    </row>
    <row r="310" spans="1:8" ht="28" x14ac:dyDescent="0.15">
      <c r="A310">
        <v>465631533</v>
      </c>
      <c r="B310" t="s">
        <v>8</v>
      </c>
      <c r="C310">
        <v>20251117</v>
      </c>
      <c r="D310">
        <v>20251117</v>
      </c>
      <c r="E310" s="6">
        <v>882.73</v>
      </c>
      <c r="F310" s="6">
        <v>828.54</v>
      </c>
      <c r="G310" s="6">
        <v>-54.19</v>
      </c>
      <c r="H310" s="3" t="s">
        <v>287</v>
      </c>
    </row>
    <row r="311" spans="1:8" ht="28" x14ac:dyDescent="0.15">
      <c r="A311">
        <v>465631533</v>
      </c>
      <c r="B311" t="s">
        <v>8</v>
      </c>
      <c r="C311">
        <v>20251118</v>
      </c>
      <c r="D311">
        <v>20251118</v>
      </c>
      <c r="E311" s="6">
        <v>828.54</v>
      </c>
      <c r="F311" s="6">
        <v>797.89</v>
      </c>
      <c r="G311" s="6">
        <v>-30.65</v>
      </c>
      <c r="H311" s="3" t="s">
        <v>288</v>
      </c>
    </row>
    <row r="312" spans="1:8" ht="28" x14ac:dyDescent="0.15">
      <c r="A312">
        <v>465631533</v>
      </c>
      <c r="B312" t="s">
        <v>8</v>
      </c>
      <c r="C312">
        <v>20251118</v>
      </c>
      <c r="D312">
        <v>20251118</v>
      </c>
      <c r="E312" s="6">
        <v>797.89</v>
      </c>
      <c r="F312" s="6">
        <v>468.93</v>
      </c>
      <c r="G312" s="6">
        <v>-328.96</v>
      </c>
      <c r="H312" s="3" t="s">
        <v>289</v>
      </c>
    </row>
    <row r="313" spans="1:8" ht="56" x14ac:dyDescent="0.15">
      <c r="A313">
        <v>465631533</v>
      </c>
      <c r="B313" t="s">
        <v>8</v>
      </c>
      <c r="C313">
        <v>20251119</v>
      </c>
      <c r="D313">
        <v>20251119</v>
      </c>
      <c r="E313" s="6">
        <v>468.93</v>
      </c>
      <c r="F313" s="6">
        <v>396.04</v>
      </c>
      <c r="G313" s="6">
        <v>-72.89</v>
      </c>
      <c r="H313" s="3" t="s">
        <v>290</v>
      </c>
    </row>
    <row r="314" spans="1:8" ht="28" x14ac:dyDescent="0.15">
      <c r="A314">
        <v>465631533</v>
      </c>
      <c r="B314" t="s">
        <v>8</v>
      </c>
      <c r="C314">
        <v>20251119</v>
      </c>
      <c r="D314">
        <v>20251119</v>
      </c>
      <c r="E314" s="6">
        <v>396.04</v>
      </c>
      <c r="F314" s="6">
        <v>309.20999999999998</v>
      </c>
      <c r="G314" s="6">
        <v>-86.83</v>
      </c>
      <c r="H314" s="3" t="s">
        <v>291</v>
      </c>
    </row>
    <row r="315" spans="1:8" ht="28" x14ac:dyDescent="0.15">
      <c r="A315">
        <v>465631533</v>
      </c>
      <c r="B315" t="s">
        <v>8</v>
      </c>
      <c r="C315">
        <v>20251119</v>
      </c>
      <c r="D315">
        <v>20251119</v>
      </c>
      <c r="E315" s="6">
        <v>309.20999999999998</v>
      </c>
      <c r="F315" s="6">
        <v>219.71</v>
      </c>
      <c r="G315" s="6">
        <v>-89.5</v>
      </c>
      <c r="H315" s="3" t="s">
        <v>292</v>
      </c>
    </row>
    <row r="316" spans="1:8" ht="28" x14ac:dyDescent="0.15">
      <c r="A316">
        <v>465631533</v>
      </c>
      <c r="B316" t="s">
        <v>8</v>
      </c>
      <c r="C316">
        <v>20251119</v>
      </c>
      <c r="D316">
        <v>20251119</v>
      </c>
      <c r="E316" s="6">
        <v>219.71</v>
      </c>
      <c r="F316" s="6">
        <v>195.07</v>
      </c>
      <c r="G316" s="6">
        <v>-24.64</v>
      </c>
      <c r="H316" s="3" t="s">
        <v>293</v>
      </c>
    </row>
    <row r="317" spans="1:8" ht="56" x14ac:dyDescent="0.15">
      <c r="A317">
        <v>465631533</v>
      </c>
      <c r="B317" t="s">
        <v>8</v>
      </c>
      <c r="C317">
        <v>20251120</v>
      </c>
      <c r="D317">
        <v>20251120</v>
      </c>
      <c r="E317" s="6">
        <v>195.07</v>
      </c>
      <c r="F317" s="6">
        <v>179.34</v>
      </c>
      <c r="G317" s="6">
        <v>-15.73</v>
      </c>
      <c r="H317" s="3" t="s">
        <v>294</v>
      </c>
    </row>
    <row r="318" spans="1:8" ht="28" x14ac:dyDescent="0.15">
      <c r="A318">
        <v>465631533</v>
      </c>
      <c r="B318" t="s">
        <v>8</v>
      </c>
      <c r="C318">
        <v>20251120</v>
      </c>
      <c r="D318">
        <v>20251120</v>
      </c>
      <c r="E318" s="6">
        <v>179.34</v>
      </c>
      <c r="F318" s="6">
        <v>679.34</v>
      </c>
      <c r="G318" s="6">
        <v>500</v>
      </c>
      <c r="H318" s="3" t="s">
        <v>24</v>
      </c>
    </row>
    <row r="319" spans="1:8" ht="42" x14ac:dyDescent="0.15">
      <c r="A319">
        <v>465631533</v>
      </c>
      <c r="B319" t="s">
        <v>8</v>
      </c>
      <c r="C319">
        <v>20251120</v>
      </c>
      <c r="D319">
        <v>20251120</v>
      </c>
      <c r="E319" s="6">
        <v>679.34</v>
      </c>
      <c r="F319" s="6">
        <v>479.34</v>
      </c>
      <c r="G319" s="6">
        <v>-200</v>
      </c>
      <c r="H319" s="3" t="s">
        <v>295</v>
      </c>
    </row>
    <row r="320" spans="1:8" ht="28" x14ac:dyDescent="0.15">
      <c r="A320">
        <v>465631533</v>
      </c>
      <c r="B320" t="s">
        <v>8</v>
      </c>
      <c r="C320">
        <v>20251120</v>
      </c>
      <c r="D320">
        <v>20251120</v>
      </c>
      <c r="E320" s="6">
        <v>479.34</v>
      </c>
      <c r="F320" s="6">
        <v>388.34</v>
      </c>
      <c r="G320" s="6">
        <v>-91</v>
      </c>
      <c r="H320" s="3" t="s">
        <v>296</v>
      </c>
    </row>
    <row r="321" spans="1:8" ht="28" x14ac:dyDescent="0.15">
      <c r="A321">
        <v>465631533</v>
      </c>
      <c r="B321" t="s">
        <v>8</v>
      </c>
      <c r="C321">
        <v>20251120</v>
      </c>
      <c r="D321">
        <v>20251120</v>
      </c>
      <c r="E321" s="6">
        <v>388.34</v>
      </c>
      <c r="F321" s="6">
        <v>373.27</v>
      </c>
      <c r="G321" s="6">
        <v>-15.07</v>
      </c>
      <c r="H321" s="3" t="s">
        <v>297</v>
      </c>
    </row>
    <row r="322" spans="1:8" ht="28" x14ac:dyDescent="0.15">
      <c r="A322">
        <v>465631533</v>
      </c>
      <c r="B322" t="s">
        <v>8</v>
      </c>
      <c r="C322">
        <v>20251121</v>
      </c>
      <c r="D322">
        <v>20251121</v>
      </c>
      <c r="E322" s="6">
        <v>373.27</v>
      </c>
      <c r="F322" s="6">
        <v>363.27</v>
      </c>
      <c r="G322" s="6">
        <v>-10</v>
      </c>
      <c r="H322" s="3" t="s">
        <v>298</v>
      </c>
    </row>
    <row r="323" spans="1:8" ht="28" x14ac:dyDescent="0.15">
      <c r="A323">
        <v>465631533</v>
      </c>
      <c r="B323" t="s">
        <v>8</v>
      </c>
      <c r="C323">
        <v>20251121</v>
      </c>
      <c r="D323">
        <v>20251121</v>
      </c>
      <c r="E323" s="6">
        <v>363.27</v>
      </c>
      <c r="F323" s="6">
        <v>268.85000000000002</v>
      </c>
      <c r="G323" s="6">
        <v>-94.42</v>
      </c>
      <c r="H323" s="3" t="s">
        <v>299</v>
      </c>
    </row>
    <row r="324" spans="1:8" ht="28" x14ac:dyDescent="0.15">
      <c r="A324">
        <v>465631533</v>
      </c>
      <c r="B324" t="s">
        <v>8</v>
      </c>
      <c r="C324">
        <v>20251121</v>
      </c>
      <c r="D324">
        <v>20251121</v>
      </c>
      <c r="E324" s="6">
        <v>268.85000000000002</v>
      </c>
      <c r="F324" s="6">
        <v>195.21</v>
      </c>
      <c r="G324" s="6">
        <v>-73.64</v>
      </c>
      <c r="H324" s="3" t="s">
        <v>300</v>
      </c>
    </row>
    <row r="325" spans="1:8" ht="28" x14ac:dyDescent="0.15">
      <c r="A325">
        <v>465631533</v>
      </c>
      <c r="B325" t="s">
        <v>8</v>
      </c>
      <c r="C325">
        <v>20251122</v>
      </c>
      <c r="D325">
        <v>20251122</v>
      </c>
      <c r="E325" s="6">
        <v>195.21</v>
      </c>
      <c r="F325" s="6">
        <v>170.74</v>
      </c>
      <c r="G325" s="6">
        <v>-24.47</v>
      </c>
      <c r="H325" s="3" t="s">
        <v>301</v>
      </c>
    </row>
    <row r="326" spans="1:8" ht="28" x14ac:dyDescent="0.15">
      <c r="A326">
        <v>465631533</v>
      </c>
      <c r="B326" t="s">
        <v>8</v>
      </c>
      <c r="C326">
        <v>20251122</v>
      </c>
      <c r="D326">
        <v>20251122</v>
      </c>
      <c r="E326" s="6">
        <v>170.74</v>
      </c>
      <c r="F326" s="6">
        <v>156.88</v>
      </c>
      <c r="G326" s="6">
        <v>-13.86</v>
      </c>
      <c r="H326" s="3" t="s">
        <v>302</v>
      </c>
    </row>
    <row r="327" spans="1:8" ht="28" x14ac:dyDescent="0.15">
      <c r="A327">
        <v>465631533</v>
      </c>
      <c r="B327" t="s">
        <v>8</v>
      </c>
      <c r="C327">
        <v>20251122</v>
      </c>
      <c r="D327">
        <v>20251122</v>
      </c>
      <c r="E327" s="6">
        <v>156.88</v>
      </c>
      <c r="F327" s="6">
        <v>97.26</v>
      </c>
      <c r="G327" s="6">
        <v>-59.62</v>
      </c>
      <c r="H327" s="3" t="s">
        <v>303</v>
      </c>
    </row>
    <row r="328" spans="1:8" ht="42" x14ac:dyDescent="0.15">
      <c r="A328">
        <v>465631533</v>
      </c>
      <c r="B328" t="s">
        <v>8</v>
      </c>
      <c r="C328">
        <v>20251124</v>
      </c>
      <c r="D328">
        <v>20251124</v>
      </c>
      <c r="E328" s="6">
        <v>97.26</v>
      </c>
      <c r="F328" s="6">
        <v>6457.69</v>
      </c>
      <c r="G328" s="6">
        <v>6360.43</v>
      </c>
      <c r="H328" s="3" t="s">
        <v>304</v>
      </c>
    </row>
    <row r="329" spans="1:8" ht="28" x14ac:dyDescent="0.15">
      <c r="A329">
        <v>465631533</v>
      </c>
      <c r="B329" t="s">
        <v>8</v>
      </c>
      <c r="C329">
        <v>20251124</v>
      </c>
      <c r="D329">
        <v>20251124</v>
      </c>
      <c r="E329" s="6">
        <v>6457.69</v>
      </c>
      <c r="F329" s="6">
        <v>6439.69</v>
      </c>
      <c r="G329" s="6">
        <v>-18</v>
      </c>
      <c r="H329" s="3" t="s">
        <v>305</v>
      </c>
    </row>
    <row r="330" spans="1:8" ht="42" x14ac:dyDescent="0.15">
      <c r="A330">
        <v>465631533</v>
      </c>
      <c r="B330" t="s">
        <v>8</v>
      </c>
      <c r="C330">
        <v>20251124</v>
      </c>
      <c r="D330">
        <v>20251124</v>
      </c>
      <c r="E330" s="6">
        <v>6439.69</v>
      </c>
      <c r="F330" s="6">
        <v>6387.01</v>
      </c>
      <c r="G330" s="6">
        <v>-52.68</v>
      </c>
      <c r="H330" s="3" t="s">
        <v>306</v>
      </c>
    </row>
    <row r="331" spans="1:8" ht="28" x14ac:dyDescent="0.15">
      <c r="A331">
        <v>465631533</v>
      </c>
      <c r="B331" t="s">
        <v>8</v>
      </c>
      <c r="C331">
        <v>20251124</v>
      </c>
      <c r="D331">
        <v>20251124</v>
      </c>
      <c r="E331" s="6">
        <v>6387.01</v>
      </c>
      <c r="F331" s="6">
        <v>6379.53</v>
      </c>
      <c r="G331" s="6">
        <v>-7.48</v>
      </c>
      <c r="H331" s="3" t="s">
        <v>307</v>
      </c>
    </row>
    <row r="332" spans="1:8" ht="28" x14ac:dyDescent="0.15">
      <c r="A332">
        <v>465631533</v>
      </c>
      <c r="B332" t="s">
        <v>8</v>
      </c>
      <c r="C332">
        <v>20251124</v>
      </c>
      <c r="D332">
        <v>20251124</v>
      </c>
      <c r="E332" s="6">
        <v>6379.53</v>
      </c>
      <c r="F332" s="6">
        <v>6366.02</v>
      </c>
      <c r="G332" s="6">
        <v>-13.51</v>
      </c>
      <c r="H332" s="3" t="s">
        <v>308</v>
      </c>
    </row>
    <row r="333" spans="1:8" ht="42" x14ac:dyDescent="0.15">
      <c r="A333">
        <v>465631533</v>
      </c>
      <c r="B333" t="s">
        <v>8</v>
      </c>
      <c r="C333">
        <v>20251125</v>
      </c>
      <c r="D333">
        <v>20251125</v>
      </c>
      <c r="E333" s="6">
        <v>6366.02</v>
      </c>
      <c r="F333" s="6">
        <v>6350.02</v>
      </c>
      <c r="G333" s="6">
        <v>-16</v>
      </c>
      <c r="H333" s="3" t="s">
        <v>309</v>
      </c>
    </row>
    <row r="334" spans="1:8" ht="42" x14ac:dyDescent="0.15">
      <c r="A334">
        <v>465631533</v>
      </c>
      <c r="B334" t="s">
        <v>8</v>
      </c>
      <c r="C334">
        <v>20251125</v>
      </c>
      <c r="D334">
        <v>20251125</v>
      </c>
      <c r="E334" s="6">
        <v>6350.02</v>
      </c>
      <c r="F334" s="6">
        <v>6340.07</v>
      </c>
      <c r="G334" s="6">
        <v>-9.9499999999999993</v>
      </c>
      <c r="H334" s="3" t="s">
        <v>310</v>
      </c>
    </row>
    <row r="335" spans="1:8" ht="42" x14ac:dyDescent="0.15">
      <c r="A335">
        <v>465631533</v>
      </c>
      <c r="B335" t="s">
        <v>8</v>
      </c>
      <c r="C335">
        <v>20251125</v>
      </c>
      <c r="D335">
        <v>20251125</v>
      </c>
      <c r="E335" s="6">
        <v>6340.07</v>
      </c>
      <c r="F335" s="6">
        <v>6331.12</v>
      </c>
      <c r="G335" s="6">
        <v>-8.9499999999999993</v>
      </c>
      <c r="H335" s="3" t="s">
        <v>311</v>
      </c>
    </row>
    <row r="336" spans="1:8" ht="28" x14ac:dyDescent="0.15">
      <c r="A336">
        <v>465631533</v>
      </c>
      <c r="B336" t="s">
        <v>8</v>
      </c>
      <c r="C336">
        <v>20251125</v>
      </c>
      <c r="D336">
        <v>20251125</v>
      </c>
      <c r="E336" s="6">
        <v>6331.12</v>
      </c>
      <c r="F336" s="6">
        <v>6270.12</v>
      </c>
      <c r="G336" s="6">
        <v>-61</v>
      </c>
      <c r="H336" s="3" t="s">
        <v>312</v>
      </c>
    </row>
    <row r="337" spans="1:8" ht="28" x14ac:dyDescent="0.15">
      <c r="A337">
        <v>465631533</v>
      </c>
      <c r="B337" t="s">
        <v>8</v>
      </c>
      <c r="C337">
        <v>20251125</v>
      </c>
      <c r="D337">
        <v>20251125</v>
      </c>
      <c r="E337" s="6">
        <v>6270.12</v>
      </c>
      <c r="F337" s="6">
        <v>6269.62</v>
      </c>
      <c r="G337" s="6">
        <v>-0.5</v>
      </c>
      <c r="H337" s="3" t="s">
        <v>313</v>
      </c>
    </row>
    <row r="338" spans="1:8" ht="28" x14ac:dyDescent="0.15">
      <c r="A338">
        <v>465631533</v>
      </c>
      <c r="B338" t="s">
        <v>8</v>
      </c>
      <c r="C338">
        <v>20251125</v>
      </c>
      <c r="D338">
        <v>20251125</v>
      </c>
      <c r="E338" s="6">
        <v>6269.62</v>
      </c>
      <c r="F338" s="6">
        <v>6213.34</v>
      </c>
      <c r="G338" s="6">
        <v>-56.28</v>
      </c>
      <c r="H338" s="3" t="s">
        <v>314</v>
      </c>
    </row>
    <row r="339" spans="1:8" ht="28" x14ac:dyDescent="0.15">
      <c r="A339">
        <v>465631533</v>
      </c>
      <c r="B339" t="s">
        <v>8</v>
      </c>
      <c r="C339">
        <v>20251125</v>
      </c>
      <c r="D339">
        <v>20251125</v>
      </c>
      <c r="E339" s="6">
        <v>6213.34</v>
      </c>
      <c r="F339" s="6">
        <v>6202.04</v>
      </c>
      <c r="G339" s="6">
        <v>-11.3</v>
      </c>
      <c r="H339" s="3" t="s">
        <v>315</v>
      </c>
    </row>
    <row r="340" spans="1:8" ht="28" x14ac:dyDescent="0.15">
      <c r="A340">
        <v>465631533</v>
      </c>
      <c r="B340" t="s">
        <v>8</v>
      </c>
      <c r="C340">
        <v>20251125</v>
      </c>
      <c r="D340">
        <v>20251125</v>
      </c>
      <c r="E340" s="6">
        <v>6202.04</v>
      </c>
      <c r="F340" s="6">
        <v>6128.74</v>
      </c>
      <c r="G340" s="6">
        <v>-73.3</v>
      </c>
      <c r="H340" s="3" t="s">
        <v>316</v>
      </c>
    </row>
    <row r="341" spans="1:8" ht="28" x14ac:dyDescent="0.15">
      <c r="A341">
        <v>465631533</v>
      </c>
      <c r="B341" t="s">
        <v>8</v>
      </c>
      <c r="C341">
        <v>20251125</v>
      </c>
      <c r="D341">
        <v>20251125</v>
      </c>
      <c r="E341" s="6">
        <v>6128.74</v>
      </c>
      <c r="F341" s="6">
        <v>6103.02</v>
      </c>
      <c r="G341" s="6">
        <v>-25.72</v>
      </c>
      <c r="H341" s="3" t="s">
        <v>317</v>
      </c>
    </row>
    <row r="342" spans="1:8" ht="28" x14ac:dyDescent="0.15">
      <c r="A342">
        <v>465631533</v>
      </c>
      <c r="B342" t="s">
        <v>8</v>
      </c>
      <c r="C342">
        <v>20251125</v>
      </c>
      <c r="D342">
        <v>20251125</v>
      </c>
      <c r="E342" s="6">
        <v>6103.02</v>
      </c>
      <c r="F342" s="6">
        <v>6052.94</v>
      </c>
      <c r="G342" s="6">
        <v>-50.08</v>
      </c>
      <c r="H342" s="3" t="s">
        <v>318</v>
      </c>
    </row>
    <row r="343" spans="1:8" ht="28" x14ac:dyDescent="0.15">
      <c r="A343">
        <v>465631533</v>
      </c>
      <c r="B343" t="s">
        <v>8</v>
      </c>
      <c r="C343">
        <v>20251125</v>
      </c>
      <c r="D343">
        <v>20251125</v>
      </c>
      <c r="E343" s="6">
        <v>6052.94</v>
      </c>
      <c r="F343" s="6">
        <v>5902.72</v>
      </c>
      <c r="G343" s="6">
        <v>-150.22</v>
      </c>
      <c r="H343" s="3" t="s">
        <v>319</v>
      </c>
    </row>
    <row r="344" spans="1:8" ht="84" x14ac:dyDescent="0.15">
      <c r="A344">
        <v>465631533</v>
      </c>
      <c r="B344" t="s">
        <v>8</v>
      </c>
      <c r="C344">
        <v>20251126</v>
      </c>
      <c r="D344">
        <v>20251126</v>
      </c>
      <c r="E344" s="6">
        <v>5902.72</v>
      </c>
      <c r="F344" s="6">
        <v>5870.23</v>
      </c>
      <c r="G344" s="6">
        <v>-32.49</v>
      </c>
      <c r="H344" s="3" t="s">
        <v>320</v>
      </c>
    </row>
    <row r="345" spans="1:8" ht="42" x14ac:dyDescent="0.15">
      <c r="A345">
        <v>465631533</v>
      </c>
      <c r="B345" t="s">
        <v>8</v>
      </c>
      <c r="C345">
        <v>20251126</v>
      </c>
      <c r="D345">
        <v>20251126</v>
      </c>
      <c r="E345" s="6">
        <v>5870.23</v>
      </c>
      <c r="F345" s="6">
        <v>5828.2</v>
      </c>
      <c r="G345" s="6">
        <v>-42.03</v>
      </c>
      <c r="H345" s="3" t="s">
        <v>321</v>
      </c>
    </row>
    <row r="346" spans="1:8" ht="56" x14ac:dyDescent="0.15">
      <c r="A346">
        <v>465631533</v>
      </c>
      <c r="B346" t="s">
        <v>8</v>
      </c>
      <c r="C346">
        <v>20251126</v>
      </c>
      <c r="D346">
        <v>20251126</v>
      </c>
      <c r="E346" s="6">
        <v>5828.2</v>
      </c>
      <c r="F346" s="6">
        <v>4122.22</v>
      </c>
      <c r="G346" s="6">
        <v>-1705.98</v>
      </c>
      <c r="H346" s="3" t="s">
        <v>322</v>
      </c>
    </row>
    <row r="347" spans="1:8" ht="56" x14ac:dyDescent="0.15">
      <c r="A347">
        <v>465631533</v>
      </c>
      <c r="B347" t="s">
        <v>8</v>
      </c>
      <c r="C347">
        <v>20251126</v>
      </c>
      <c r="D347">
        <v>20251126</v>
      </c>
      <c r="E347" s="6">
        <v>4122.22</v>
      </c>
      <c r="F347" s="6">
        <v>4057.22</v>
      </c>
      <c r="G347" s="6">
        <v>-65</v>
      </c>
      <c r="H347" s="3" t="s">
        <v>323</v>
      </c>
    </row>
    <row r="348" spans="1:8" ht="70" x14ac:dyDescent="0.15">
      <c r="A348">
        <v>465631533</v>
      </c>
      <c r="B348" t="s">
        <v>8</v>
      </c>
      <c r="C348">
        <v>20251126</v>
      </c>
      <c r="D348">
        <v>20251126</v>
      </c>
      <c r="E348" s="6">
        <v>4057.22</v>
      </c>
      <c r="F348" s="6">
        <v>3595.22</v>
      </c>
      <c r="G348" s="6">
        <v>-462</v>
      </c>
      <c r="H348" s="3" t="s">
        <v>324</v>
      </c>
    </row>
    <row r="349" spans="1:8" ht="56" x14ac:dyDescent="0.15">
      <c r="A349">
        <v>465631533</v>
      </c>
      <c r="B349" t="s">
        <v>8</v>
      </c>
      <c r="C349">
        <v>20251126</v>
      </c>
      <c r="D349">
        <v>20251126</v>
      </c>
      <c r="E349" s="6">
        <v>3595.22</v>
      </c>
      <c r="F349" s="6">
        <v>3533.47</v>
      </c>
      <c r="G349" s="6">
        <v>-61.75</v>
      </c>
      <c r="H349" s="3" t="s">
        <v>325</v>
      </c>
    </row>
    <row r="350" spans="1:8" ht="28" x14ac:dyDescent="0.15">
      <c r="A350">
        <v>465631533</v>
      </c>
      <c r="B350" t="s">
        <v>8</v>
      </c>
      <c r="C350">
        <v>20251126</v>
      </c>
      <c r="D350">
        <v>20251126</v>
      </c>
      <c r="E350" s="6">
        <v>3533.47</v>
      </c>
      <c r="F350" s="6">
        <v>3529.12</v>
      </c>
      <c r="G350" s="6">
        <v>-4.3499999999999996</v>
      </c>
      <c r="H350" s="3" t="s">
        <v>326</v>
      </c>
    </row>
    <row r="351" spans="1:8" ht="56" x14ac:dyDescent="0.15">
      <c r="A351">
        <v>465631533</v>
      </c>
      <c r="B351" t="s">
        <v>8</v>
      </c>
      <c r="C351">
        <v>20251127</v>
      </c>
      <c r="D351">
        <v>20251127</v>
      </c>
      <c r="E351" s="6">
        <v>3529.12</v>
      </c>
      <c r="F351" s="6">
        <v>3513.62</v>
      </c>
      <c r="G351" s="6">
        <v>-15.5</v>
      </c>
      <c r="H351" s="3" t="s">
        <v>327</v>
      </c>
    </row>
    <row r="352" spans="1:8" ht="70" x14ac:dyDescent="0.15">
      <c r="A352">
        <v>465631533</v>
      </c>
      <c r="B352" t="s">
        <v>8</v>
      </c>
      <c r="C352">
        <v>20251127</v>
      </c>
      <c r="D352">
        <v>20251127</v>
      </c>
      <c r="E352" s="6">
        <v>3513.62</v>
      </c>
      <c r="F352" s="6">
        <v>3499.62</v>
      </c>
      <c r="G352" s="6">
        <v>-14</v>
      </c>
      <c r="H352" s="3" t="s">
        <v>328</v>
      </c>
    </row>
    <row r="353" spans="1:8" ht="70" x14ac:dyDescent="0.15">
      <c r="A353">
        <v>465631533</v>
      </c>
      <c r="B353" t="s">
        <v>8</v>
      </c>
      <c r="C353">
        <v>20251127</v>
      </c>
      <c r="D353">
        <v>20251127</v>
      </c>
      <c r="E353" s="6">
        <v>3499.62</v>
      </c>
      <c r="F353" s="6">
        <v>3467.62</v>
      </c>
      <c r="G353" s="6">
        <v>-32</v>
      </c>
      <c r="H353" s="3" t="s">
        <v>329</v>
      </c>
    </row>
    <row r="354" spans="1:8" ht="56" x14ac:dyDescent="0.15">
      <c r="A354">
        <v>465631533</v>
      </c>
      <c r="B354" t="s">
        <v>8</v>
      </c>
      <c r="C354">
        <v>20251127</v>
      </c>
      <c r="D354">
        <v>20251127</v>
      </c>
      <c r="E354" s="6">
        <v>3467.62</v>
      </c>
      <c r="F354" s="6">
        <v>3044.17</v>
      </c>
      <c r="G354" s="6">
        <v>-423.45</v>
      </c>
      <c r="H354" s="3" t="s">
        <v>330</v>
      </c>
    </row>
    <row r="355" spans="1:8" ht="56" x14ac:dyDescent="0.15">
      <c r="A355">
        <v>465631533</v>
      </c>
      <c r="B355" t="s">
        <v>8</v>
      </c>
      <c r="C355">
        <v>20251127</v>
      </c>
      <c r="D355">
        <v>20251127</v>
      </c>
      <c r="E355" s="6">
        <v>3044.17</v>
      </c>
      <c r="F355" s="6">
        <v>2776.61</v>
      </c>
      <c r="G355" s="6">
        <v>-267.56</v>
      </c>
      <c r="H355" s="3" t="s">
        <v>331</v>
      </c>
    </row>
    <row r="356" spans="1:8" ht="28" x14ac:dyDescent="0.15">
      <c r="A356">
        <v>465631533</v>
      </c>
      <c r="B356" t="s">
        <v>8</v>
      </c>
      <c r="C356">
        <v>20251127</v>
      </c>
      <c r="D356">
        <v>20251127</v>
      </c>
      <c r="E356" s="6">
        <v>2776.61</v>
      </c>
      <c r="F356" s="6">
        <v>776.61</v>
      </c>
      <c r="G356" s="6">
        <v>-2000</v>
      </c>
      <c r="H356" s="3" t="s">
        <v>23</v>
      </c>
    </row>
    <row r="357" spans="1:8" ht="28" x14ac:dyDescent="0.15">
      <c r="A357">
        <v>465631533</v>
      </c>
      <c r="B357" t="s">
        <v>8</v>
      </c>
      <c r="C357">
        <v>20251127</v>
      </c>
      <c r="D357">
        <v>20251127</v>
      </c>
      <c r="E357" s="6">
        <v>776.61</v>
      </c>
      <c r="F357" s="6">
        <v>4776.6099999999997</v>
      </c>
      <c r="G357" s="6">
        <v>4000</v>
      </c>
      <c r="H357" s="3" t="s">
        <v>24</v>
      </c>
    </row>
    <row r="358" spans="1:8" ht="28" x14ac:dyDescent="0.15">
      <c r="A358">
        <v>465631533</v>
      </c>
      <c r="B358" t="s">
        <v>8</v>
      </c>
      <c r="C358">
        <v>20251127</v>
      </c>
      <c r="D358">
        <v>20251127</v>
      </c>
      <c r="E358" s="6">
        <v>4776.6099999999997</v>
      </c>
      <c r="F358" s="6">
        <v>4708.16</v>
      </c>
      <c r="G358" s="6">
        <v>-68.45</v>
      </c>
      <c r="H358" s="3" t="s">
        <v>332</v>
      </c>
    </row>
    <row r="359" spans="1:8" ht="56" x14ac:dyDescent="0.15">
      <c r="A359">
        <v>465631533</v>
      </c>
      <c r="B359" t="s">
        <v>8</v>
      </c>
      <c r="C359">
        <v>20251128</v>
      </c>
      <c r="D359">
        <v>20251128</v>
      </c>
      <c r="E359" s="6">
        <v>4708.16</v>
      </c>
      <c r="F359" s="6">
        <v>4543.4799999999996</v>
      </c>
      <c r="G359" s="6">
        <v>-164.68</v>
      </c>
      <c r="H359" s="3" t="s">
        <v>333</v>
      </c>
    </row>
    <row r="360" spans="1:8" ht="42" x14ac:dyDescent="0.15">
      <c r="A360">
        <v>465631533</v>
      </c>
      <c r="B360" t="s">
        <v>8</v>
      </c>
      <c r="C360">
        <v>20251128</v>
      </c>
      <c r="D360">
        <v>20251128</v>
      </c>
      <c r="E360" s="6">
        <v>4543.4799999999996</v>
      </c>
      <c r="F360" s="6">
        <v>4515.5200000000004</v>
      </c>
      <c r="G360" s="6">
        <v>-27.96</v>
      </c>
      <c r="H360" s="3" t="s">
        <v>334</v>
      </c>
    </row>
    <row r="361" spans="1:8" ht="28" x14ac:dyDescent="0.15">
      <c r="A361">
        <v>465631533</v>
      </c>
      <c r="B361" t="s">
        <v>8</v>
      </c>
      <c r="C361">
        <v>20251128</v>
      </c>
      <c r="D361">
        <v>20251128</v>
      </c>
      <c r="E361" s="6">
        <v>4515.5200000000004</v>
      </c>
      <c r="F361" s="6">
        <v>4472.3500000000004</v>
      </c>
      <c r="G361" s="6">
        <v>-43.17</v>
      </c>
      <c r="H361" s="3" t="s">
        <v>335</v>
      </c>
    </row>
    <row r="362" spans="1:8" ht="28" x14ac:dyDescent="0.15">
      <c r="A362">
        <v>465631533</v>
      </c>
      <c r="B362" t="s">
        <v>8</v>
      </c>
      <c r="C362">
        <v>20251128</v>
      </c>
      <c r="D362">
        <v>20251128</v>
      </c>
      <c r="E362" s="6">
        <v>4472.3500000000004</v>
      </c>
      <c r="F362" s="6">
        <v>4370.6499999999996</v>
      </c>
      <c r="G362" s="6">
        <v>-101.7</v>
      </c>
      <c r="H362" s="3" t="s">
        <v>336</v>
      </c>
    </row>
    <row r="363" spans="1:8" ht="28" x14ac:dyDescent="0.15">
      <c r="A363">
        <v>465631533</v>
      </c>
      <c r="B363" t="s">
        <v>8</v>
      </c>
      <c r="C363">
        <v>20251128</v>
      </c>
      <c r="D363">
        <v>20251128</v>
      </c>
      <c r="E363" s="6">
        <v>4370.6499999999996</v>
      </c>
      <c r="F363" s="6">
        <v>4298.8</v>
      </c>
      <c r="G363" s="6">
        <v>-71.849999999999994</v>
      </c>
      <c r="H363" s="3" t="s">
        <v>337</v>
      </c>
    </row>
    <row r="364" spans="1:8" ht="28" x14ac:dyDescent="0.15">
      <c r="A364">
        <v>465631533</v>
      </c>
      <c r="B364" t="s">
        <v>8</v>
      </c>
      <c r="C364">
        <v>20251128</v>
      </c>
      <c r="D364">
        <v>20251128</v>
      </c>
      <c r="E364" s="6">
        <v>4298.8</v>
      </c>
      <c r="F364" s="6">
        <v>4288.8</v>
      </c>
      <c r="G364" s="6">
        <v>-10</v>
      </c>
      <c r="H364" s="3" t="s">
        <v>338</v>
      </c>
    </row>
    <row r="365" spans="1:8" ht="28" x14ac:dyDescent="0.15">
      <c r="A365">
        <v>465631533</v>
      </c>
      <c r="B365" t="s">
        <v>8</v>
      </c>
      <c r="C365">
        <v>20251128</v>
      </c>
      <c r="D365">
        <v>20251128</v>
      </c>
      <c r="E365" s="6">
        <v>4288.8</v>
      </c>
      <c r="F365" s="6">
        <v>4258.8</v>
      </c>
      <c r="G365" s="6">
        <v>-30</v>
      </c>
      <c r="H365" s="3" t="s">
        <v>339</v>
      </c>
    </row>
    <row r="366" spans="1:8" ht="28" x14ac:dyDescent="0.15">
      <c r="A366">
        <v>465631533</v>
      </c>
      <c r="B366" t="s">
        <v>8</v>
      </c>
      <c r="C366">
        <v>20251128</v>
      </c>
      <c r="D366">
        <v>20251128</v>
      </c>
      <c r="E366" s="6">
        <v>4258.8</v>
      </c>
      <c r="F366" s="6">
        <v>4232.55</v>
      </c>
      <c r="G366" s="6">
        <v>-26.25</v>
      </c>
      <c r="H366" s="3" t="s">
        <v>340</v>
      </c>
    </row>
    <row r="367" spans="1:8" ht="28" x14ac:dyDescent="0.15">
      <c r="A367">
        <v>465631533</v>
      </c>
      <c r="B367" t="s">
        <v>8</v>
      </c>
      <c r="C367">
        <v>20251129</v>
      </c>
      <c r="D367">
        <v>20251129</v>
      </c>
      <c r="E367" s="6">
        <v>4232.55</v>
      </c>
      <c r="F367" s="6">
        <v>4184.74</v>
      </c>
      <c r="G367" s="6">
        <v>-47.81</v>
      </c>
      <c r="H367" s="3" t="s">
        <v>341</v>
      </c>
    </row>
    <row r="368" spans="1:8" ht="28" x14ac:dyDescent="0.15">
      <c r="A368">
        <v>465631533</v>
      </c>
      <c r="B368" t="s">
        <v>8</v>
      </c>
      <c r="C368">
        <v>20251129</v>
      </c>
      <c r="D368">
        <v>20251129</v>
      </c>
      <c r="E368" s="6">
        <v>4184.74</v>
      </c>
      <c r="F368" s="6">
        <v>4134.25</v>
      </c>
      <c r="G368" s="6">
        <v>-50.49</v>
      </c>
      <c r="H368" s="3" t="s">
        <v>342</v>
      </c>
    </row>
    <row r="369" spans="1:8" ht="28" x14ac:dyDescent="0.15">
      <c r="A369">
        <v>465631533</v>
      </c>
      <c r="B369" t="s">
        <v>8</v>
      </c>
      <c r="C369">
        <v>20251129</v>
      </c>
      <c r="D369">
        <v>20251129</v>
      </c>
      <c r="E369" s="6">
        <v>4134.25</v>
      </c>
      <c r="F369" s="6">
        <v>4118.25</v>
      </c>
      <c r="G369" s="6">
        <v>-16</v>
      </c>
      <c r="H369" s="3" t="s">
        <v>343</v>
      </c>
    </row>
    <row r="370" spans="1:8" ht="28" x14ac:dyDescent="0.15">
      <c r="A370">
        <v>465631533</v>
      </c>
      <c r="B370" t="s">
        <v>8</v>
      </c>
      <c r="C370">
        <v>20251129</v>
      </c>
      <c r="D370">
        <v>20251129</v>
      </c>
      <c r="E370" s="6">
        <v>4118.25</v>
      </c>
      <c r="F370" s="6">
        <v>4110.78</v>
      </c>
      <c r="G370" s="6">
        <v>-7.47</v>
      </c>
      <c r="H370" s="3" t="s">
        <v>344</v>
      </c>
    </row>
    <row r="371" spans="1:8" ht="28" x14ac:dyDescent="0.15">
      <c r="A371">
        <v>465631533</v>
      </c>
      <c r="B371" t="s">
        <v>8</v>
      </c>
      <c r="C371">
        <v>20251130</v>
      </c>
      <c r="D371">
        <v>20251130</v>
      </c>
      <c r="E371" s="6">
        <v>4110.78</v>
      </c>
      <c r="F371" s="6">
        <v>3895.03</v>
      </c>
      <c r="G371" s="6">
        <v>-215.75</v>
      </c>
      <c r="H371" s="3" t="s">
        <v>345</v>
      </c>
    </row>
    <row r="372" spans="1:8" ht="42" x14ac:dyDescent="0.15">
      <c r="A372">
        <v>465631533</v>
      </c>
      <c r="B372" t="s">
        <v>8</v>
      </c>
      <c r="C372">
        <v>20251201</v>
      </c>
      <c r="D372">
        <v>20251201</v>
      </c>
      <c r="E372" s="6">
        <v>3895.03</v>
      </c>
      <c r="F372" s="6">
        <v>522.58000000000004</v>
      </c>
      <c r="G372" s="6">
        <v>-3372.45</v>
      </c>
      <c r="H372" s="3" t="s">
        <v>346</v>
      </c>
    </row>
    <row r="373" spans="1:8" ht="56" x14ac:dyDescent="0.15">
      <c r="A373">
        <v>465631533</v>
      </c>
      <c r="B373" t="s">
        <v>8</v>
      </c>
      <c r="C373">
        <v>20251201</v>
      </c>
      <c r="D373">
        <v>20251201</v>
      </c>
      <c r="E373" s="6">
        <v>522.58000000000004</v>
      </c>
      <c r="F373" s="6">
        <v>395.78</v>
      </c>
      <c r="G373" s="6">
        <v>-126.8</v>
      </c>
      <c r="H373" s="3" t="s">
        <v>347</v>
      </c>
    </row>
    <row r="374" spans="1:8" ht="42" x14ac:dyDescent="0.15">
      <c r="A374">
        <v>465631533</v>
      </c>
      <c r="B374" t="s">
        <v>8</v>
      </c>
      <c r="C374">
        <v>20251201</v>
      </c>
      <c r="D374">
        <v>20251201</v>
      </c>
      <c r="E374" s="6">
        <v>395.78</v>
      </c>
      <c r="F374" s="6">
        <v>371.78</v>
      </c>
      <c r="G374" s="6">
        <v>-24</v>
      </c>
      <c r="H374" s="3" t="s">
        <v>348</v>
      </c>
    </row>
    <row r="375" spans="1:8" ht="84" x14ac:dyDescent="0.15">
      <c r="A375">
        <v>465631533</v>
      </c>
      <c r="B375" t="s">
        <v>8</v>
      </c>
      <c r="C375">
        <v>20251201</v>
      </c>
      <c r="D375">
        <v>20251201</v>
      </c>
      <c r="E375" s="6">
        <v>371.78</v>
      </c>
      <c r="F375" s="6">
        <v>214.81</v>
      </c>
      <c r="G375" s="6">
        <v>-156.97</v>
      </c>
      <c r="H375" s="3" t="s">
        <v>349</v>
      </c>
    </row>
    <row r="376" spans="1:8" ht="42" x14ac:dyDescent="0.15">
      <c r="A376">
        <v>465631533</v>
      </c>
      <c r="B376" t="s">
        <v>8</v>
      </c>
      <c r="C376">
        <v>20251201</v>
      </c>
      <c r="D376">
        <v>20251201</v>
      </c>
      <c r="E376" s="6">
        <v>214.81</v>
      </c>
      <c r="F376" s="6">
        <v>235.11</v>
      </c>
      <c r="G376" s="6">
        <v>20.3</v>
      </c>
      <c r="H376" s="3" t="s">
        <v>350</v>
      </c>
    </row>
    <row r="377" spans="1:8" ht="28" x14ac:dyDescent="0.15">
      <c r="A377">
        <v>465631533</v>
      </c>
      <c r="B377" t="s">
        <v>8</v>
      </c>
      <c r="C377">
        <v>20251201</v>
      </c>
      <c r="D377">
        <v>20251201</v>
      </c>
      <c r="E377" s="6">
        <v>235.11</v>
      </c>
      <c r="F377" s="6">
        <v>219.11</v>
      </c>
      <c r="G377" s="6">
        <v>-16</v>
      </c>
      <c r="H377" s="3" t="s">
        <v>351</v>
      </c>
    </row>
    <row r="378" spans="1:8" ht="28" x14ac:dyDescent="0.15">
      <c r="A378">
        <v>465631533</v>
      </c>
      <c r="B378" t="s">
        <v>8</v>
      </c>
      <c r="C378">
        <v>20251201</v>
      </c>
      <c r="D378">
        <v>20251201</v>
      </c>
      <c r="E378" s="6">
        <v>219.11</v>
      </c>
      <c r="F378" s="6">
        <v>198.84</v>
      </c>
      <c r="G378" s="6">
        <v>-20.27</v>
      </c>
      <c r="H378" s="3" t="s">
        <v>352</v>
      </c>
    </row>
    <row r="379" spans="1:8" ht="42" x14ac:dyDescent="0.15">
      <c r="A379">
        <v>465631533</v>
      </c>
      <c r="B379" t="s">
        <v>8</v>
      </c>
      <c r="C379">
        <v>20251201</v>
      </c>
      <c r="D379">
        <v>20251201</v>
      </c>
      <c r="E379" s="6">
        <v>198.84</v>
      </c>
      <c r="F379" s="6">
        <v>166.84</v>
      </c>
      <c r="G379" s="6">
        <v>-32</v>
      </c>
      <c r="H379" s="3" t="s">
        <v>353</v>
      </c>
    </row>
    <row r="380" spans="1:8" ht="42" x14ac:dyDescent="0.15">
      <c r="A380">
        <v>465631533</v>
      </c>
      <c r="B380" t="s">
        <v>8</v>
      </c>
      <c r="C380">
        <v>20251202</v>
      </c>
      <c r="D380">
        <v>20251202</v>
      </c>
      <c r="E380" s="6">
        <v>166.84</v>
      </c>
      <c r="F380" s="6">
        <v>150.84</v>
      </c>
      <c r="G380" s="6">
        <v>-16</v>
      </c>
      <c r="H380" s="3" t="s">
        <v>354</v>
      </c>
    </row>
    <row r="381" spans="1:8" ht="28" x14ac:dyDescent="0.15">
      <c r="A381">
        <v>465631533</v>
      </c>
      <c r="B381" t="s">
        <v>8</v>
      </c>
      <c r="C381">
        <v>20251202</v>
      </c>
      <c r="D381">
        <v>20251202</v>
      </c>
      <c r="E381" s="6">
        <v>150.84</v>
      </c>
      <c r="F381" s="6">
        <v>135.05000000000001</v>
      </c>
      <c r="G381" s="6">
        <v>-15.79</v>
      </c>
      <c r="H381" s="3" t="s">
        <v>355</v>
      </c>
    </row>
    <row r="382" spans="1:8" ht="28" x14ac:dyDescent="0.15">
      <c r="A382">
        <v>465631533</v>
      </c>
      <c r="B382" t="s">
        <v>8</v>
      </c>
      <c r="C382">
        <v>20251203</v>
      </c>
      <c r="D382">
        <v>20251203</v>
      </c>
      <c r="E382" s="6">
        <v>135.05000000000001</v>
      </c>
      <c r="F382" s="6">
        <v>107.83</v>
      </c>
      <c r="G382" s="6">
        <v>-27.22</v>
      </c>
      <c r="H382" s="3" t="s">
        <v>356</v>
      </c>
    </row>
    <row r="383" spans="1:8" ht="42" x14ac:dyDescent="0.15">
      <c r="A383">
        <v>465631533</v>
      </c>
      <c r="B383" t="s">
        <v>8</v>
      </c>
      <c r="C383">
        <v>20251203</v>
      </c>
      <c r="D383">
        <v>20251203</v>
      </c>
      <c r="E383" s="6">
        <v>107.83</v>
      </c>
      <c r="F383" s="6">
        <v>58.36</v>
      </c>
      <c r="G383" s="6">
        <v>-49.47</v>
      </c>
      <c r="H383" s="3" t="s">
        <v>357</v>
      </c>
    </row>
    <row r="384" spans="1:8" ht="56" x14ac:dyDescent="0.15">
      <c r="A384">
        <v>465631533</v>
      </c>
      <c r="B384" t="s">
        <v>8</v>
      </c>
      <c r="C384">
        <v>20251203</v>
      </c>
      <c r="D384">
        <v>20251203</v>
      </c>
      <c r="E384" s="6">
        <v>58.36</v>
      </c>
      <c r="F384" s="6">
        <v>16.170000000000002</v>
      </c>
      <c r="G384" s="6">
        <v>-42.19</v>
      </c>
      <c r="H384" s="3" t="s">
        <v>358</v>
      </c>
    </row>
    <row r="385" spans="1:8" ht="28" x14ac:dyDescent="0.15">
      <c r="A385">
        <v>465631533</v>
      </c>
      <c r="B385" t="s">
        <v>8</v>
      </c>
      <c r="C385">
        <v>20251203</v>
      </c>
      <c r="D385">
        <v>20251203</v>
      </c>
      <c r="E385" s="6">
        <v>16.170000000000002</v>
      </c>
      <c r="F385" s="6">
        <v>1016.17</v>
      </c>
      <c r="G385" s="6">
        <v>1000</v>
      </c>
      <c r="H385" s="3" t="s">
        <v>359</v>
      </c>
    </row>
    <row r="386" spans="1:8" ht="28" x14ac:dyDescent="0.15">
      <c r="A386">
        <v>465631533</v>
      </c>
      <c r="B386" t="s">
        <v>8</v>
      </c>
      <c r="C386">
        <v>20251203</v>
      </c>
      <c r="D386">
        <v>20251203</v>
      </c>
      <c r="E386" s="6">
        <v>1016.17</v>
      </c>
      <c r="F386" s="6">
        <v>971.48</v>
      </c>
      <c r="G386" s="6">
        <v>-44.69</v>
      </c>
      <c r="H386" s="3" t="s">
        <v>360</v>
      </c>
    </row>
    <row r="387" spans="1:8" ht="28" x14ac:dyDescent="0.15">
      <c r="A387">
        <v>465631533</v>
      </c>
      <c r="B387" t="s">
        <v>8</v>
      </c>
      <c r="C387">
        <v>20251203</v>
      </c>
      <c r="D387">
        <v>20251203</v>
      </c>
      <c r="E387" s="6">
        <v>971.48</v>
      </c>
      <c r="F387" s="6">
        <v>958.3</v>
      </c>
      <c r="G387" s="6">
        <v>-13.18</v>
      </c>
      <c r="H387" s="3" t="s">
        <v>361</v>
      </c>
    </row>
    <row r="388" spans="1:8" ht="28" x14ac:dyDescent="0.15">
      <c r="A388">
        <v>465631533</v>
      </c>
      <c r="B388" t="s">
        <v>8</v>
      </c>
      <c r="C388">
        <v>20251203</v>
      </c>
      <c r="D388">
        <v>20251203</v>
      </c>
      <c r="E388" s="6">
        <v>958.3</v>
      </c>
      <c r="F388" s="6">
        <v>942.1</v>
      </c>
      <c r="G388" s="6">
        <v>-16.2</v>
      </c>
      <c r="H388" s="3" t="s">
        <v>362</v>
      </c>
    </row>
    <row r="389" spans="1:8" ht="42" x14ac:dyDescent="0.15">
      <c r="A389">
        <v>465631533</v>
      </c>
      <c r="B389" t="s">
        <v>8</v>
      </c>
      <c r="C389">
        <v>20251204</v>
      </c>
      <c r="D389">
        <v>20251204</v>
      </c>
      <c r="E389" s="6">
        <v>942.1</v>
      </c>
      <c r="F389" s="6">
        <v>933.1</v>
      </c>
      <c r="G389" s="6">
        <v>-9</v>
      </c>
      <c r="H389" s="3" t="s">
        <v>363</v>
      </c>
    </row>
    <row r="390" spans="1:8" ht="28" x14ac:dyDescent="0.15">
      <c r="A390">
        <v>465631533</v>
      </c>
      <c r="B390" t="s">
        <v>8</v>
      </c>
      <c r="C390">
        <v>20251204</v>
      </c>
      <c r="D390">
        <v>20251204</v>
      </c>
      <c r="E390" s="6">
        <v>933.1</v>
      </c>
      <c r="F390" s="6">
        <v>743.1</v>
      </c>
      <c r="G390" s="6">
        <v>-190</v>
      </c>
      <c r="H390" s="3" t="s">
        <v>364</v>
      </c>
    </row>
    <row r="391" spans="1:8" ht="28" x14ac:dyDescent="0.15">
      <c r="A391">
        <v>465631533</v>
      </c>
      <c r="B391" t="s">
        <v>8</v>
      </c>
      <c r="C391">
        <v>20251205</v>
      </c>
      <c r="D391">
        <v>20251205</v>
      </c>
      <c r="E391" s="6">
        <v>743.1</v>
      </c>
      <c r="F391" s="6">
        <v>643.70000000000005</v>
      </c>
      <c r="G391" s="6">
        <v>-99.4</v>
      </c>
      <c r="H391" s="3" t="s">
        <v>365</v>
      </c>
    </row>
    <row r="392" spans="1:8" ht="28" x14ac:dyDescent="0.15">
      <c r="A392">
        <v>465631533</v>
      </c>
      <c r="B392" t="s">
        <v>8</v>
      </c>
      <c r="C392">
        <v>20251205</v>
      </c>
      <c r="D392">
        <v>20251205</v>
      </c>
      <c r="E392" s="6">
        <v>643.70000000000005</v>
      </c>
      <c r="F392" s="6">
        <v>470.42</v>
      </c>
      <c r="G392" s="6">
        <v>-173.28</v>
      </c>
      <c r="H392" s="3" t="s">
        <v>366</v>
      </c>
    </row>
    <row r="393" spans="1:8" ht="28" x14ac:dyDescent="0.15">
      <c r="A393">
        <v>465631533</v>
      </c>
      <c r="B393" t="s">
        <v>8</v>
      </c>
      <c r="C393">
        <v>20251205</v>
      </c>
      <c r="D393">
        <v>20251205</v>
      </c>
      <c r="E393" s="6">
        <v>470.42</v>
      </c>
      <c r="F393" s="6">
        <v>464.42</v>
      </c>
      <c r="G393" s="6">
        <v>-6</v>
      </c>
      <c r="H393" s="3" t="s">
        <v>367</v>
      </c>
    </row>
    <row r="394" spans="1:8" ht="28" x14ac:dyDescent="0.15">
      <c r="A394">
        <v>465631533</v>
      </c>
      <c r="B394" t="s">
        <v>8</v>
      </c>
      <c r="C394">
        <v>20251206</v>
      </c>
      <c r="D394">
        <v>20251206</v>
      </c>
      <c r="E394" s="6">
        <v>464.42</v>
      </c>
      <c r="F394" s="6">
        <v>421.58</v>
      </c>
      <c r="G394" s="6">
        <v>-42.84</v>
      </c>
      <c r="H394" s="3" t="s">
        <v>368</v>
      </c>
    </row>
    <row r="395" spans="1:8" ht="28" x14ac:dyDescent="0.15">
      <c r="A395">
        <v>465631533</v>
      </c>
      <c r="B395" t="s">
        <v>8</v>
      </c>
      <c r="C395">
        <v>20251206</v>
      </c>
      <c r="D395">
        <v>20251206</v>
      </c>
      <c r="E395" s="6">
        <v>421.58</v>
      </c>
      <c r="F395" s="6">
        <v>921.58</v>
      </c>
      <c r="G395" s="6">
        <v>500</v>
      </c>
      <c r="H395" s="3" t="s">
        <v>359</v>
      </c>
    </row>
    <row r="396" spans="1:8" ht="14" x14ac:dyDescent="0.15">
      <c r="A396">
        <v>465631533</v>
      </c>
      <c r="B396" t="s">
        <v>8</v>
      </c>
      <c r="C396">
        <v>20251206</v>
      </c>
      <c r="D396">
        <v>20251206</v>
      </c>
      <c r="E396" s="6">
        <v>921.58</v>
      </c>
      <c r="F396" s="6">
        <v>421.58</v>
      </c>
      <c r="G396" s="6">
        <v>-500</v>
      </c>
      <c r="H396" s="3" t="s">
        <v>369</v>
      </c>
    </row>
    <row r="397" spans="1:8" ht="28" x14ac:dyDescent="0.15">
      <c r="A397">
        <v>465631533</v>
      </c>
      <c r="B397" t="s">
        <v>8</v>
      </c>
      <c r="C397">
        <v>20251206</v>
      </c>
      <c r="D397">
        <v>20251206</v>
      </c>
      <c r="E397" s="6">
        <v>421.58</v>
      </c>
      <c r="F397" s="6">
        <v>391.58</v>
      </c>
      <c r="G397" s="6">
        <v>-30</v>
      </c>
      <c r="H397" s="3" t="s">
        <v>370</v>
      </c>
    </row>
    <row r="398" spans="1:8" ht="28" x14ac:dyDescent="0.15">
      <c r="A398">
        <v>465631533</v>
      </c>
      <c r="B398" t="s">
        <v>8</v>
      </c>
      <c r="C398">
        <v>20251206</v>
      </c>
      <c r="D398">
        <v>20251206</v>
      </c>
      <c r="E398" s="6">
        <v>391.58</v>
      </c>
      <c r="F398" s="6">
        <v>343.87</v>
      </c>
      <c r="G398" s="6">
        <v>-47.71</v>
      </c>
      <c r="H398" s="3" t="s">
        <v>371</v>
      </c>
    </row>
    <row r="399" spans="1:8" ht="42" x14ac:dyDescent="0.15">
      <c r="A399">
        <v>465631533</v>
      </c>
      <c r="B399" t="s">
        <v>8</v>
      </c>
      <c r="C399">
        <v>20251207</v>
      </c>
      <c r="D399">
        <v>20251207</v>
      </c>
      <c r="E399" s="6">
        <v>343.87</v>
      </c>
      <c r="F399" s="6">
        <v>312.39</v>
      </c>
      <c r="G399" s="6">
        <v>-31.48</v>
      </c>
      <c r="H399" s="3" t="s">
        <v>372</v>
      </c>
    </row>
    <row r="400" spans="1:8" ht="42" x14ac:dyDescent="0.15">
      <c r="A400">
        <v>465631533</v>
      </c>
      <c r="B400" t="s">
        <v>8</v>
      </c>
      <c r="C400">
        <v>20251207</v>
      </c>
      <c r="D400">
        <v>20251207</v>
      </c>
      <c r="E400" s="6">
        <v>312.39</v>
      </c>
      <c r="F400" s="6">
        <v>309.39999999999998</v>
      </c>
      <c r="G400" s="6">
        <v>-2.99</v>
      </c>
      <c r="H400" s="3" t="s">
        <v>373</v>
      </c>
    </row>
    <row r="401" spans="1:8" ht="42" x14ac:dyDescent="0.15">
      <c r="A401">
        <v>465631533</v>
      </c>
      <c r="B401" t="s">
        <v>8</v>
      </c>
      <c r="C401">
        <v>20251208</v>
      </c>
      <c r="D401">
        <v>20251208</v>
      </c>
      <c r="E401" s="6">
        <v>309.39999999999998</v>
      </c>
      <c r="F401" s="6">
        <v>309.39</v>
      </c>
      <c r="G401" s="6">
        <v>-0.01</v>
      </c>
      <c r="H401" s="3" t="s">
        <v>374</v>
      </c>
    </row>
    <row r="402" spans="1:8" ht="28" x14ac:dyDescent="0.15">
      <c r="A402">
        <v>465631533</v>
      </c>
      <c r="B402" t="s">
        <v>8</v>
      </c>
      <c r="C402">
        <v>20251208</v>
      </c>
      <c r="D402">
        <v>20251208</v>
      </c>
      <c r="E402" s="6">
        <v>309.39</v>
      </c>
      <c r="F402" s="6">
        <v>299.89</v>
      </c>
      <c r="G402" s="6">
        <v>-9.5</v>
      </c>
      <c r="H402" s="3" t="s">
        <v>375</v>
      </c>
    </row>
    <row r="403" spans="1:8" ht="28" x14ac:dyDescent="0.15">
      <c r="A403">
        <v>465631533</v>
      </c>
      <c r="B403" t="s">
        <v>8</v>
      </c>
      <c r="C403">
        <v>20251208</v>
      </c>
      <c r="D403">
        <v>20251208</v>
      </c>
      <c r="E403" s="6">
        <v>299.89</v>
      </c>
      <c r="F403" s="6">
        <v>1299.8900000000001</v>
      </c>
      <c r="G403" s="6">
        <v>1000</v>
      </c>
      <c r="H403" s="3" t="s">
        <v>359</v>
      </c>
    </row>
    <row r="404" spans="1:8" ht="56" x14ac:dyDescent="0.15">
      <c r="A404">
        <v>465631533</v>
      </c>
      <c r="B404" t="s">
        <v>8</v>
      </c>
      <c r="C404">
        <v>20251208</v>
      </c>
      <c r="D404">
        <v>20251208</v>
      </c>
      <c r="E404" s="6">
        <v>1299.8900000000001</v>
      </c>
      <c r="F404" s="6">
        <v>837.89</v>
      </c>
      <c r="G404" s="6">
        <v>-462</v>
      </c>
      <c r="H404" s="3" t="s">
        <v>376</v>
      </c>
    </row>
    <row r="405" spans="1:8" ht="28" x14ac:dyDescent="0.15">
      <c r="A405">
        <v>465631533</v>
      </c>
      <c r="B405" t="s">
        <v>8</v>
      </c>
      <c r="C405">
        <v>20251208</v>
      </c>
      <c r="D405">
        <v>20251208</v>
      </c>
      <c r="E405" s="6">
        <v>837.89</v>
      </c>
      <c r="F405" s="6">
        <v>462.67</v>
      </c>
      <c r="G405" s="6">
        <v>-375.22</v>
      </c>
      <c r="H405" s="3" t="s">
        <v>377</v>
      </c>
    </row>
    <row r="406" spans="1:8" ht="28" x14ac:dyDescent="0.15">
      <c r="A406">
        <v>465631533</v>
      </c>
      <c r="B406" t="s">
        <v>8</v>
      </c>
      <c r="C406">
        <v>20251208</v>
      </c>
      <c r="D406">
        <v>20251208</v>
      </c>
      <c r="E406" s="6">
        <v>462.67</v>
      </c>
      <c r="F406" s="6">
        <v>430.67</v>
      </c>
      <c r="G406" s="6">
        <v>-32</v>
      </c>
      <c r="H406" s="3" t="s">
        <v>378</v>
      </c>
    </row>
    <row r="407" spans="1:8" ht="56" x14ac:dyDescent="0.15">
      <c r="A407">
        <v>465631533</v>
      </c>
      <c r="B407" t="s">
        <v>8</v>
      </c>
      <c r="C407">
        <v>20251209</v>
      </c>
      <c r="D407">
        <v>20251209</v>
      </c>
      <c r="E407" s="6">
        <v>430.67</v>
      </c>
      <c r="F407" s="6">
        <v>365.67</v>
      </c>
      <c r="G407" s="6">
        <v>-65</v>
      </c>
      <c r="H407" s="3" t="s">
        <v>379</v>
      </c>
    </row>
    <row r="408" spans="1:8" ht="42" x14ac:dyDescent="0.15">
      <c r="A408">
        <v>465631533</v>
      </c>
      <c r="B408" t="s">
        <v>8</v>
      </c>
      <c r="C408">
        <v>20251209</v>
      </c>
      <c r="D408">
        <v>20251209</v>
      </c>
      <c r="E408" s="6">
        <v>365.67</v>
      </c>
      <c r="F408" s="6">
        <v>215.23</v>
      </c>
      <c r="G408" s="6">
        <v>-150.44</v>
      </c>
      <c r="H408" s="3" t="s">
        <v>380</v>
      </c>
    </row>
    <row r="409" spans="1:8" ht="28" x14ac:dyDescent="0.15">
      <c r="A409">
        <v>465631533</v>
      </c>
      <c r="B409" t="s">
        <v>8</v>
      </c>
      <c r="C409">
        <v>20251209</v>
      </c>
      <c r="D409">
        <v>20251209</v>
      </c>
      <c r="E409" s="6">
        <v>215.23</v>
      </c>
      <c r="F409" s="6">
        <v>181</v>
      </c>
      <c r="G409" s="6">
        <v>-34.229999999999997</v>
      </c>
      <c r="H409" s="3" t="s">
        <v>381</v>
      </c>
    </row>
    <row r="410" spans="1:8" ht="56" x14ac:dyDescent="0.15">
      <c r="A410">
        <v>465631533</v>
      </c>
      <c r="B410" t="s">
        <v>8</v>
      </c>
      <c r="C410">
        <v>20251210</v>
      </c>
      <c r="D410">
        <v>20251210</v>
      </c>
      <c r="E410" s="6">
        <v>181</v>
      </c>
      <c r="F410" s="6">
        <v>170.28</v>
      </c>
      <c r="G410" s="6">
        <v>-10.72</v>
      </c>
      <c r="H410" s="3" t="s">
        <v>382</v>
      </c>
    </row>
    <row r="411" spans="1:8" ht="42" x14ac:dyDescent="0.15">
      <c r="A411">
        <v>465631533</v>
      </c>
      <c r="B411" t="s">
        <v>8</v>
      </c>
      <c r="C411">
        <v>20251210</v>
      </c>
      <c r="D411">
        <v>20251210</v>
      </c>
      <c r="E411" s="6">
        <v>170.28</v>
      </c>
      <c r="F411" s="6">
        <v>167.29</v>
      </c>
      <c r="G411" s="6">
        <v>-2.99</v>
      </c>
      <c r="H411" s="3" t="s">
        <v>383</v>
      </c>
    </row>
    <row r="412" spans="1:8" ht="28" x14ac:dyDescent="0.15">
      <c r="A412">
        <v>465631533</v>
      </c>
      <c r="B412" t="s">
        <v>8</v>
      </c>
      <c r="C412">
        <v>20251211</v>
      </c>
      <c r="D412">
        <v>20251211</v>
      </c>
      <c r="E412" s="6">
        <v>167.29</v>
      </c>
      <c r="F412" s="6">
        <v>88.49</v>
      </c>
      <c r="G412" s="6">
        <v>-78.8</v>
      </c>
      <c r="H412" s="3" t="s">
        <v>384</v>
      </c>
    </row>
    <row r="413" spans="1:8" ht="28" x14ac:dyDescent="0.15">
      <c r="A413">
        <v>465631533</v>
      </c>
      <c r="B413" t="s">
        <v>8</v>
      </c>
      <c r="C413">
        <v>20251212</v>
      </c>
      <c r="D413">
        <v>20251212</v>
      </c>
      <c r="E413" s="6">
        <v>88.49</v>
      </c>
      <c r="F413" s="6">
        <v>62.45</v>
      </c>
      <c r="G413" s="6">
        <v>-26.04</v>
      </c>
      <c r="H413" s="3" t="s">
        <v>385</v>
      </c>
    </row>
    <row r="414" spans="1:8" ht="56" x14ac:dyDescent="0.15">
      <c r="A414">
        <v>465631533</v>
      </c>
      <c r="B414" t="s">
        <v>8</v>
      </c>
      <c r="C414">
        <v>20251215</v>
      </c>
      <c r="D414">
        <v>20251215</v>
      </c>
      <c r="E414" s="6">
        <v>62.45</v>
      </c>
      <c r="F414" s="6">
        <v>35.369999999999997</v>
      </c>
      <c r="G414" s="6">
        <v>-27.08</v>
      </c>
      <c r="H414" s="3" t="s">
        <v>386</v>
      </c>
    </row>
    <row r="415" spans="1:8" ht="56" x14ac:dyDescent="0.15">
      <c r="A415">
        <v>465631533</v>
      </c>
      <c r="B415" t="s">
        <v>8</v>
      </c>
      <c r="C415">
        <v>20251215</v>
      </c>
      <c r="D415">
        <v>20251215</v>
      </c>
      <c r="E415" s="6">
        <v>35.369999999999997</v>
      </c>
      <c r="F415" s="6">
        <v>251.37</v>
      </c>
      <c r="G415" s="6">
        <v>216</v>
      </c>
      <c r="H415" s="3" t="s">
        <v>387</v>
      </c>
    </row>
    <row r="416" spans="1:8" ht="28" x14ac:dyDescent="0.15">
      <c r="A416">
        <v>465631533</v>
      </c>
      <c r="B416" t="s">
        <v>8</v>
      </c>
      <c r="C416">
        <v>20251215</v>
      </c>
      <c r="D416">
        <v>20251215</v>
      </c>
      <c r="E416" s="6">
        <v>251.37</v>
      </c>
      <c r="F416" s="6">
        <v>244.02</v>
      </c>
      <c r="G416" s="6">
        <v>-7.35</v>
      </c>
      <c r="H416" s="3" t="s">
        <v>57</v>
      </c>
    </row>
    <row r="417" spans="1:8" ht="28" x14ac:dyDescent="0.15">
      <c r="A417">
        <v>465631533</v>
      </c>
      <c r="B417" t="s">
        <v>8</v>
      </c>
      <c r="C417">
        <v>20251216</v>
      </c>
      <c r="D417">
        <v>20251216</v>
      </c>
      <c r="E417" s="6">
        <v>244.02</v>
      </c>
      <c r="F417" s="6">
        <v>223.44</v>
      </c>
      <c r="G417" s="6">
        <v>-20.58</v>
      </c>
      <c r="H417" s="3" t="s">
        <v>388</v>
      </c>
    </row>
    <row r="418" spans="1:8" ht="28" x14ac:dyDescent="0.15">
      <c r="A418">
        <v>465631533</v>
      </c>
      <c r="B418" t="s">
        <v>8</v>
      </c>
      <c r="C418">
        <v>20251216</v>
      </c>
      <c r="D418">
        <v>20251216</v>
      </c>
      <c r="E418" s="6">
        <v>223.44</v>
      </c>
      <c r="F418" s="6">
        <v>191.21</v>
      </c>
      <c r="G418" s="6">
        <v>-32.229999999999997</v>
      </c>
      <c r="H418" s="3" t="s">
        <v>389</v>
      </c>
    </row>
    <row r="419" spans="1:8" ht="56" x14ac:dyDescent="0.15">
      <c r="A419">
        <v>465631533</v>
      </c>
      <c r="B419" t="s">
        <v>8</v>
      </c>
      <c r="C419">
        <v>20251217</v>
      </c>
      <c r="D419">
        <v>20251217</v>
      </c>
      <c r="E419" s="6">
        <v>191.21</v>
      </c>
      <c r="F419" s="6">
        <v>176.76</v>
      </c>
      <c r="G419" s="6">
        <v>-14.45</v>
      </c>
      <c r="H419" s="3" t="s">
        <v>390</v>
      </c>
    </row>
    <row r="420" spans="1:8" ht="28" x14ac:dyDescent="0.15">
      <c r="A420">
        <v>465631533</v>
      </c>
      <c r="B420" t="s">
        <v>8</v>
      </c>
      <c r="C420">
        <v>20251217</v>
      </c>
      <c r="D420">
        <v>20251217</v>
      </c>
      <c r="E420" s="6">
        <v>176.76</v>
      </c>
      <c r="F420" s="6">
        <v>426.76</v>
      </c>
      <c r="G420" s="6">
        <v>250</v>
      </c>
      <c r="H420" s="3" t="s">
        <v>359</v>
      </c>
    </row>
    <row r="421" spans="1:8" ht="28" x14ac:dyDescent="0.15">
      <c r="A421">
        <v>465631533</v>
      </c>
      <c r="B421" t="s">
        <v>8</v>
      </c>
      <c r="C421">
        <v>20251217</v>
      </c>
      <c r="D421">
        <v>20251217</v>
      </c>
      <c r="E421" s="6">
        <v>426.76</v>
      </c>
      <c r="F421" s="6">
        <v>410.7</v>
      </c>
      <c r="G421" s="6">
        <v>-16.059999999999999</v>
      </c>
      <c r="H421" s="3" t="s">
        <v>391</v>
      </c>
    </row>
    <row r="422" spans="1:8" ht="28" x14ac:dyDescent="0.15">
      <c r="A422">
        <v>465631533</v>
      </c>
      <c r="B422" t="s">
        <v>8</v>
      </c>
      <c r="C422">
        <v>20251218</v>
      </c>
      <c r="D422">
        <v>20251218</v>
      </c>
      <c r="E422" s="6">
        <v>410.7</v>
      </c>
      <c r="F422" s="6">
        <v>393.3</v>
      </c>
      <c r="G422" s="6">
        <v>-17.399999999999999</v>
      </c>
      <c r="H422" s="3" t="s">
        <v>392</v>
      </c>
    </row>
    <row r="423" spans="1:8" ht="42" x14ac:dyDescent="0.15">
      <c r="A423">
        <v>465631533</v>
      </c>
      <c r="B423" t="s">
        <v>8</v>
      </c>
      <c r="C423">
        <v>20251218</v>
      </c>
      <c r="D423">
        <v>20251218</v>
      </c>
      <c r="E423" s="6">
        <v>393.3</v>
      </c>
      <c r="F423" s="6">
        <v>6753.73</v>
      </c>
      <c r="G423" s="6">
        <v>6360.43</v>
      </c>
      <c r="H423" s="3" t="s">
        <v>393</v>
      </c>
    </row>
    <row r="424" spans="1:8" ht="28" x14ac:dyDescent="0.15">
      <c r="A424">
        <v>465631533</v>
      </c>
      <c r="B424" t="s">
        <v>8</v>
      </c>
      <c r="C424">
        <v>20251218</v>
      </c>
      <c r="D424">
        <v>20251218</v>
      </c>
      <c r="E424" s="6">
        <v>6753.73</v>
      </c>
      <c r="F424" s="6">
        <v>6667.18</v>
      </c>
      <c r="G424" s="6">
        <v>-86.55</v>
      </c>
      <c r="H424" s="3" t="s">
        <v>394</v>
      </c>
    </row>
    <row r="425" spans="1:8" ht="56" x14ac:dyDescent="0.15">
      <c r="A425">
        <v>465631533</v>
      </c>
      <c r="B425" t="s">
        <v>8</v>
      </c>
      <c r="C425">
        <v>20251219</v>
      </c>
      <c r="D425">
        <v>20251219</v>
      </c>
      <c r="E425" s="6">
        <v>6667.18</v>
      </c>
      <c r="F425" s="6">
        <v>6594.29</v>
      </c>
      <c r="G425" s="6">
        <v>-72.89</v>
      </c>
      <c r="H425" s="3" t="s">
        <v>395</v>
      </c>
    </row>
    <row r="426" spans="1:8" ht="56" x14ac:dyDescent="0.15">
      <c r="A426">
        <v>465631533</v>
      </c>
      <c r="B426" t="s">
        <v>8</v>
      </c>
      <c r="C426">
        <v>20251219</v>
      </c>
      <c r="D426">
        <v>20251219</v>
      </c>
      <c r="E426" s="6">
        <v>6594.29</v>
      </c>
      <c r="F426" s="6">
        <v>6578.56</v>
      </c>
      <c r="G426" s="6">
        <v>-15.73</v>
      </c>
      <c r="H426" s="3" t="s">
        <v>396</v>
      </c>
    </row>
    <row r="427" spans="1:8" ht="56" x14ac:dyDescent="0.15">
      <c r="A427">
        <v>465631533</v>
      </c>
      <c r="B427" t="s">
        <v>8</v>
      </c>
      <c r="C427">
        <v>20251219</v>
      </c>
      <c r="D427">
        <v>20251219</v>
      </c>
      <c r="E427" s="6">
        <v>6578.56</v>
      </c>
      <c r="F427" s="6">
        <v>6480.59</v>
      </c>
      <c r="G427" s="6">
        <v>-97.97</v>
      </c>
      <c r="H427" s="3" t="s">
        <v>397</v>
      </c>
    </row>
    <row r="428" spans="1:8" ht="42" x14ac:dyDescent="0.15">
      <c r="A428">
        <v>465631533</v>
      </c>
      <c r="B428" t="s">
        <v>8</v>
      </c>
      <c r="C428">
        <v>20251219</v>
      </c>
      <c r="D428">
        <v>20251219</v>
      </c>
      <c r="E428" s="6">
        <v>6480.59</v>
      </c>
      <c r="F428" s="6">
        <v>6421.59</v>
      </c>
      <c r="G428" s="6">
        <v>-59</v>
      </c>
      <c r="H428" s="3" t="s">
        <v>398</v>
      </c>
    </row>
    <row r="429" spans="1:8" ht="28" x14ac:dyDescent="0.15">
      <c r="A429">
        <v>465631533</v>
      </c>
      <c r="B429" t="s">
        <v>8</v>
      </c>
      <c r="C429">
        <v>20251219</v>
      </c>
      <c r="D429">
        <v>20251219</v>
      </c>
      <c r="E429" s="6">
        <v>6421.59</v>
      </c>
      <c r="F429" s="6">
        <v>6400.64</v>
      </c>
      <c r="G429" s="6">
        <v>-20.95</v>
      </c>
      <c r="H429" s="3" t="s">
        <v>399</v>
      </c>
    </row>
    <row r="430" spans="1:8" ht="28" x14ac:dyDescent="0.15">
      <c r="A430">
        <v>465631533</v>
      </c>
      <c r="B430" t="s">
        <v>8</v>
      </c>
      <c r="C430">
        <v>20251219</v>
      </c>
      <c r="D430">
        <v>20251219</v>
      </c>
      <c r="E430" s="6">
        <v>6400.64</v>
      </c>
      <c r="F430" s="6">
        <v>6356.62</v>
      </c>
      <c r="G430" s="6">
        <v>-44.02</v>
      </c>
      <c r="H430" s="3" t="s">
        <v>400</v>
      </c>
    </row>
    <row r="431" spans="1:8" ht="28" x14ac:dyDescent="0.15">
      <c r="A431">
        <v>465631533</v>
      </c>
      <c r="B431" t="s">
        <v>8</v>
      </c>
      <c r="C431">
        <v>20251219</v>
      </c>
      <c r="D431">
        <v>20251219</v>
      </c>
      <c r="E431" s="6">
        <v>6356.62</v>
      </c>
      <c r="F431" s="6">
        <v>6321.83</v>
      </c>
      <c r="G431" s="6">
        <v>-34.79</v>
      </c>
      <c r="H431" s="3" t="s">
        <v>401</v>
      </c>
    </row>
    <row r="432" spans="1:8" ht="28" x14ac:dyDescent="0.15">
      <c r="A432">
        <v>465631533</v>
      </c>
      <c r="B432" t="s">
        <v>8</v>
      </c>
      <c r="C432">
        <v>20251219</v>
      </c>
      <c r="D432">
        <v>20251219</v>
      </c>
      <c r="E432" s="6">
        <v>6321.83</v>
      </c>
      <c r="F432" s="6">
        <v>6310.53</v>
      </c>
      <c r="G432" s="6">
        <v>-11.3</v>
      </c>
      <c r="H432" s="3" t="s">
        <v>402</v>
      </c>
    </row>
    <row r="433" spans="1:8" ht="28" x14ac:dyDescent="0.15">
      <c r="A433">
        <v>465631533</v>
      </c>
      <c r="B433" t="s">
        <v>8</v>
      </c>
      <c r="C433">
        <v>20251220</v>
      </c>
      <c r="D433">
        <v>20251220</v>
      </c>
      <c r="E433" s="6">
        <v>6310.53</v>
      </c>
      <c r="F433" s="6">
        <v>6190.53</v>
      </c>
      <c r="G433" s="6">
        <v>-120</v>
      </c>
      <c r="H433" s="3" t="s">
        <v>403</v>
      </c>
    </row>
    <row r="434" spans="1:8" ht="28" x14ac:dyDescent="0.15">
      <c r="A434">
        <v>465631533</v>
      </c>
      <c r="B434" t="s">
        <v>8</v>
      </c>
      <c r="C434">
        <v>20251220</v>
      </c>
      <c r="D434">
        <v>20251220</v>
      </c>
      <c r="E434" s="6">
        <v>6190.53</v>
      </c>
      <c r="F434" s="6">
        <v>6174.03</v>
      </c>
      <c r="G434" s="6">
        <v>-16.5</v>
      </c>
      <c r="H434" s="3" t="s">
        <v>404</v>
      </c>
    </row>
    <row r="435" spans="1:8" ht="28" x14ac:dyDescent="0.15">
      <c r="A435">
        <v>465631533</v>
      </c>
      <c r="B435" t="s">
        <v>8</v>
      </c>
      <c r="C435">
        <v>20251220</v>
      </c>
      <c r="D435">
        <v>20251220</v>
      </c>
      <c r="E435" s="6">
        <v>6174.03</v>
      </c>
      <c r="F435" s="6">
        <v>6166.23</v>
      </c>
      <c r="G435" s="6">
        <v>-7.8</v>
      </c>
      <c r="H435" s="3" t="s">
        <v>405</v>
      </c>
    </row>
    <row r="436" spans="1:8" ht="28" x14ac:dyDescent="0.15">
      <c r="A436">
        <v>465631533</v>
      </c>
      <c r="B436" t="s">
        <v>8</v>
      </c>
      <c r="C436">
        <v>20251221</v>
      </c>
      <c r="D436">
        <v>20251221</v>
      </c>
      <c r="E436" s="6">
        <v>6166.23</v>
      </c>
      <c r="F436" s="6">
        <v>5901.24</v>
      </c>
      <c r="G436" s="6">
        <v>-264.99</v>
      </c>
      <c r="H436" s="3" t="s">
        <v>406</v>
      </c>
    </row>
    <row r="437" spans="1:8" ht="42" x14ac:dyDescent="0.15">
      <c r="A437">
        <v>465631533</v>
      </c>
      <c r="B437" t="s">
        <v>8</v>
      </c>
      <c r="C437">
        <v>20251222</v>
      </c>
      <c r="D437">
        <v>20251222</v>
      </c>
      <c r="E437" s="6">
        <v>5901.24</v>
      </c>
      <c r="F437" s="6">
        <v>5848.25</v>
      </c>
      <c r="G437" s="6">
        <v>-52.99</v>
      </c>
      <c r="H437" s="3" t="s">
        <v>407</v>
      </c>
    </row>
    <row r="438" spans="1:8" ht="28" x14ac:dyDescent="0.15">
      <c r="A438">
        <v>465631533</v>
      </c>
      <c r="B438" t="s">
        <v>8</v>
      </c>
      <c r="C438">
        <v>20251222</v>
      </c>
      <c r="D438">
        <v>20251222</v>
      </c>
      <c r="E438" s="6">
        <v>5848.25</v>
      </c>
      <c r="F438" s="6">
        <v>5834.05</v>
      </c>
      <c r="G438" s="6">
        <v>-14.2</v>
      </c>
      <c r="H438" s="3" t="s">
        <v>408</v>
      </c>
    </row>
    <row r="439" spans="1:8" ht="28" x14ac:dyDescent="0.15">
      <c r="A439">
        <v>465631533</v>
      </c>
      <c r="B439" t="s">
        <v>8</v>
      </c>
      <c r="C439">
        <v>20251222</v>
      </c>
      <c r="D439">
        <v>20251222</v>
      </c>
      <c r="E439" s="6">
        <v>5834.05</v>
      </c>
      <c r="F439" s="6">
        <v>5809.1</v>
      </c>
      <c r="G439" s="6">
        <v>-24.95</v>
      </c>
      <c r="H439" s="3" t="s">
        <v>409</v>
      </c>
    </row>
    <row r="440" spans="1:8" ht="28" x14ac:dyDescent="0.15">
      <c r="A440">
        <v>465631533</v>
      </c>
      <c r="B440" t="s">
        <v>8</v>
      </c>
      <c r="C440">
        <v>20251223</v>
      </c>
      <c r="D440">
        <v>20251223</v>
      </c>
      <c r="E440" s="6">
        <v>5809.1</v>
      </c>
      <c r="F440" s="6">
        <v>5766.62</v>
      </c>
      <c r="G440" s="6">
        <v>-42.48</v>
      </c>
      <c r="H440" s="3" t="s">
        <v>410</v>
      </c>
    </row>
    <row r="441" spans="1:8" ht="28" x14ac:dyDescent="0.15">
      <c r="A441">
        <v>465631533</v>
      </c>
      <c r="B441" t="s">
        <v>8</v>
      </c>
      <c r="C441">
        <v>20251223</v>
      </c>
      <c r="D441">
        <v>20251223</v>
      </c>
      <c r="E441" s="6">
        <v>5766.62</v>
      </c>
      <c r="F441" s="6">
        <v>5751.62</v>
      </c>
      <c r="G441" s="6">
        <v>-15</v>
      </c>
      <c r="H441" s="3" t="s">
        <v>411</v>
      </c>
    </row>
    <row r="442" spans="1:8" ht="42" x14ac:dyDescent="0.15">
      <c r="A442">
        <v>465631533</v>
      </c>
      <c r="B442" t="s">
        <v>8</v>
      </c>
      <c r="C442">
        <v>20251224</v>
      </c>
      <c r="D442">
        <v>20251224</v>
      </c>
      <c r="E442" s="6">
        <v>5751.62</v>
      </c>
      <c r="F442" s="6">
        <v>5709.59</v>
      </c>
      <c r="G442" s="6">
        <v>-42.03</v>
      </c>
      <c r="H442" s="3" t="s">
        <v>412</v>
      </c>
    </row>
    <row r="443" spans="1:8" ht="56" x14ac:dyDescent="0.15">
      <c r="A443">
        <v>465631533</v>
      </c>
      <c r="B443" t="s">
        <v>8</v>
      </c>
      <c r="C443">
        <v>20251224</v>
      </c>
      <c r="D443">
        <v>20251224</v>
      </c>
      <c r="E443" s="6">
        <v>5709.59</v>
      </c>
      <c r="F443" s="6">
        <v>5693.59</v>
      </c>
      <c r="G443" s="6">
        <v>-16</v>
      </c>
      <c r="H443" s="3" t="s">
        <v>413</v>
      </c>
    </row>
    <row r="444" spans="1:8" ht="42" x14ac:dyDescent="0.15">
      <c r="A444">
        <v>465631533</v>
      </c>
      <c r="B444" t="s">
        <v>8</v>
      </c>
      <c r="C444">
        <v>20251224</v>
      </c>
      <c r="D444">
        <v>20251224</v>
      </c>
      <c r="E444" s="6">
        <v>5693.59</v>
      </c>
      <c r="F444" s="6">
        <v>5684.64</v>
      </c>
      <c r="G444" s="6">
        <v>-8.9499999999999993</v>
      </c>
      <c r="H444" s="3" t="s">
        <v>414</v>
      </c>
    </row>
    <row r="445" spans="1:8" ht="56" x14ac:dyDescent="0.15">
      <c r="A445">
        <v>465631533</v>
      </c>
      <c r="B445" t="s">
        <v>8</v>
      </c>
      <c r="C445">
        <v>20251224</v>
      </c>
      <c r="D445">
        <v>20251224</v>
      </c>
      <c r="E445" s="6">
        <v>5684.64</v>
      </c>
      <c r="F445" s="6">
        <v>5620.19</v>
      </c>
      <c r="G445" s="6">
        <v>-64.45</v>
      </c>
      <c r="H445" s="3" t="s">
        <v>415</v>
      </c>
    </row>
    <row r="446" spans="1:8" ht="28" x14ac:dyDescent="0.15">
      <c r="A446">
        <v>465631533</v>
      </c>
      <c r="B446" t="s">
        <v>8</v>
      </c>
      <c r="C446">
        <v>20251224</v>
      </c>
      <c r="D446">
        <v>20251224</v>
      </c>
      <c r="E446" s="6">
        <v>5620.19</v>
      </c>
      <c r="F446" s="6">
        <v>5391.05</v>
      </c>
      <c r="G446" s="6">
        <v>-229.14</v>
      </c>
      <c r="H446" s="3" t="s">
        <v>416</v>
      </c>
    </row>
    <row r="447" spans="1:8" ht="42" x14ac:dyDescent="0.15">
      <c r="A447">
        <v>465631533</v>
      </c>
      <c r="B447" t="s">
        <v>8</v>
      </c>
      <c r="C447">
        <v>20251225</v>
      </c>
      <c r="D447">
        <v>20251225</v>
      </c>
      <c r="E447" s="6">
        <v>5391.05</v>
      </c>
      <c r="F447" s="6">
        <v>5337.1</v>
      </c>
      <c r="G447" s="6">
        <v>-53.95</v>
      </c>
      <c r="H447" s="3" t="s">
        <v>417</v>
      </c>
    </row>
    <row r="448" spans="1:8" ht="28" x14ac:dyDescent="0.15">
      <c r="A448">
        <v>465631533</v>
      </c>
      <c r="B448" t="s">
        <v>8</v>
      </c>
      <c r="C448">
        <v>20251226</v>
      </c>
      <c r="D448">
        <v>20251226</v>
      </c>
      <c r="E448" s="6">
        <v>5337.1</v>
      </c>
      <c r="F448" s="6">
        <v>5316.1</v>
      </c>
      <c r="G448" s="6">
        <v>-21</v>
      </c>
      <c r="H448" s="3" t="s">
        <v>418</v>
      </c>
    </row>
    <row r="449" spans="1:8" ht="28" x14ac:dyDescent="0.15">
      <c r="A449">
        <v>465631533</v>
      </c>
      <c r="B449" t="s">
        <v>8</v>
      </c>
      <c r="C449">
        <v>20251226</v>
      </c>
      <c r="D449">
        <v>20251226</v>
      </c>
      <c r="E449" s="6">
        <v>5316.1</v>
      </c>
      <c r="F449" s="6">
        <v>5236.12</v>
      </c>
      <c r="G449" s="6">
        <v>-79.98</v>
      </c>
      <c r="H449" s="3" t="s">
        <v>419</v>
      </c>
    </row>
    <row r="450" spans="1:8" ht="28" x14ac:dyDescent="0.15">
      <c r="A450">
        <v>465631533</v>
      </c>
      <c r="B450" t="s">
        <v>8</v>
      </c>
      <c r="C450">
        <v>20251226</v>
      </c>
      <c r="D450">
        <v>20251226</v>
      </c>
      <c r="E450" s="6">
        <v>5236.12</v>
      </c>
      <c r="F450" s="6">
        <v>5195.5200000000004</v>
      </c>
      <c r="G450" s="6">
        <v>-40.6</v>
      </c>
      <c r="H450" s="3" t="s">
        <v>420</v>
      </c>
    </row>
    <row r="451" spans="1:8" ht="28" x14ac:dyDescent="0.15">
      <c r="A451">
        <v>465631533</v>
      </c>
      <c r="B451" t="s">
        <v>8</v>
      </c>
      <c r="C451">
        <v>20251226</v>
      </c>
      <c r="D451">
        <v>20251226</v>
      </c>
      <c r="E451" s="6">
        <v>5195.5200000000004</v>
      </c>
      <c r="F451" s="6">
        <v>5160.54</v>
      </c>
      <c r="G451" s="6">
        <v>-34.979999999999997</v>
      </c>
      <c r="H451" s="3" t="s">
        <v>421</v>
      </c>
    </row>
    <row r="452" spans="1:8" ht="28" x14ac:dyDescent="0.15">
      <c r="A452">
        <v>465631533</v>
      </c>
      <c r="B452" t="s">
        <v>8</v>
      </c>
      <c r="C452">
        <v>20251226</v>
      </c>
      <c r="D452">
        <v>20251226</v>
      </c>
      <c r="E452" s="6">
        <v>5160.54</v>
      </c>
      <c r="F452" s="6">
        <v>5047.46</v>
      </c>
      <c r="G452" s="6">
        <v>-113.08</v>
      </c>
      <c r="H452" s="3" t="s">
        <v>422</v>
      </c>
    </row>
    <row r="453" spans="1:8" ht="28" x14ac:dyDescent="0.15">
      <c r="A453">
        <v>465631533</v>
      </c>
      <c r="B453" t="s">
        <v>8</v>
      </c>
      <c r="C453">
        <v>20251226</v>
      </c>
      <c r="D453">
        <v>20251226</v>
      </c>
      <c r="E453" s="6">
        <v>5047.46</v>
      </c>
      <c r="F453" s="6">
        <v>5035.46</v>
      </c>
      <c r="G453" s="6">
        <v>-12</v>
      </c>
      <c r="H453" s="3" t="s">
        <v>423</v>
      </c>
    </row>
    <row r="454" spans="1:8" ht="28" x14ac:dyDescent="0.15">
      <c r="A454">
        <v>465631533</v>
      </c>
      <c r="B454" t="s">
        <v>8</v>
      </c>
      <c r="C454">
        <v>20251226</v>
      </c>
      <c r="D454">
        <v>20251226</v>
      </c>
      <c r="E454" s="6">
        <v>5035.46</v>
      </c>
      <c r="F454" s="6">
        <v>4995.28</v>
      </c>
      <c r="G454" s="6">
        <v>-40.18</v>
      </c>
      <c r="H454" s="3" t="s">
        <v>424</v>
      </c>
    </row>
    <row r="455" spans="1:8" ht="42" x14ac:dyDescent="0.15">
      <c r="A455">
        <v>465631533</v>
      </c>
      <c r="B455" t="s">
        <v>8</v>
      </c>
      <c r="C455">
        <v>20251228</v>
      </c>
      <c r="D455">
        <v>20251228</v>
      </c>
      <c r="E455" s="6">
        <v>4995.28</v>
      </c>
      <c r="F455" s="6">
        <v>4958.8</v>
      </c>
      <c r="G455" s="6">
        <v>-36.479999999999997</v>
      </c>
      <c r="H455" s="3" t="s">
        <v>425</v>
      </c>
    </row>
    <row r="456" spans="1:8" ht="28" x14ac:dyDescent="0.15">
      <c r="A456">
        <v>465631533</v>
      </c>
      <c r="B456" t="s">
        <v>8</v>
      </c>
      <c r="C456">
        <v>20251228</v>
      </c>
      <c r="D456">
        <v>20251228</v>
      </c>
      <c r="E456" s="6">
        <v>4958.8</v>
      </c>
      <c r="F456" s="6">
        <v>4893.7</v>
      </c>
      <c r="G456" s="6">
        <v>-65.099999999999994</v>
      </c>
      <c r="H456" s="3" t="s">
        <v>426</v>
      </c>
    </row>
    <row r="457" spans="1:8" ht="28" x14ac:dyDescent="0.15">
      <c r="A457">
        <v>465631533</v>
      </c>
      <c r="B457" t="s">
        <v>8</v>
      </c>
      <c r="C457">
        <v>20251228</v>
      </c>
      <c r="D457">
        <v>20251228</v>
      </c>
      <c r="E457" s="6">
        <v>4893.7</v>
      </c>
      <c r="F457" s="6">
        <v>4825.6400000000003</v>
      </c>
      <c r="G457" s="6">
        <v>-68.06</v>
      </c>
      <c r="H457" s="3" t="s">
        <v>427</v>
      </c>
    </row>
    <row r="458" spans="1:8" ht="28" x14ac:dyDescent="0.15">
      <c r="A458">
        <v>465631533</v>
      </c>
      <c r="B458" t="s">
        <v>8</v>
      </c>
      <c r="C458">
        <v>20251228</v>
      </c>
      <c r="D458">
        <v>20251228</v>
      </c>
      <c r="E458" s="6">
        <v>4825.6400000000003</v>
      </c>
      <c r="F458" s="6">
        <v>4801.2</v>
      </c>
      <c r="G458" s="6">
        <v>-24.44</v>
      </c>
      <c r="H458" s="3" t="s">
        <v>428</v>
      </c>
    </row>
    <row r="459" spans="1:8" ht="28" x14ac:dyDescent="0.15">
      <c r="A459">
        <v>465631533</v>
      </c>
      <c r="B459" t="s">
        <v>8</v>
      </c>
      <c r="C459">
        <v>20251228</v>
      </c>
      <c r="D459">
        <v>20251228</v>
      </c>
      <c r="E459" s="6">
        <v>4801.2</v>
      </c>
      <c r="F459" s="6">
        <v>6801.2</v>
      </c>
      <c r="G459" s="6">
        <v>2000</v>
      </c>
      <c r="H459" s="3" t="s">
        <v>359</v>
      </c>
    </row>
    <row r="460" spans="1:8" ht="28" x14ac:dyDescent="0.15">
      <c r="A460">
        <v>465631533</v>
      </c>
      <c r="B460" t="s">
        <v>8</v>
      </c>
      <c r="C460">
        <v>20251228</v>
      </c>
      <c r="D460">
        <v>20251228</v>
      </c>
      <c r="E460" s="6">
        <v>6801.2</v>
      </c>
      <c r="F460" s="6">
        <v>8551.2000000000007</v>
      </c>
      <c r="G460" s="6">
        <v>1750</v>
      </c>
      <c r="H460" s="3" t="s">
        <v>359</v>
      </c>
    </row>
    <row r="461" spans="1:8" ht="42" x14ac:dyDescent="0.15">
      <c r="A461">
        <v>465631533</v>
      </c>
      <c r="B461" t="s">
        <v>8</v>
      </c>
      <c r="C461">
        <v>20251228</v>
      </c>
      <c r="D461">
        <v>20251228</v>
      </c>
      <c r="E461" s="6">
        <v>8551.2000000000007</v>
      </c>
      <c r="F461" s="6">
        <v>6551.2</v>
      </c>
      <c r="G461" s="6">
        <v>-2000</v>
      </c>
      <c r="H461" s="3" t="s">
        <v>429</v>
      </c>
    </row>
    <row r="462" spans="1:8" ht="84" x14ac:dyDescent="0.15">
      <c r="A462">
        <v>465631533</v>
      </c>
      <c r="B462" t="s">
        <v>8</v>
      </c>
      <c r="C462">
        <v>20251229</v>
      </c>
      <c r="D462">
        <v>20251229</v>
      </c>
      <c r="E462" s="6">
        <v>6551.2</v>
      </c>
      <c r="F462" s="6">
        <v>6534.33</v>
      </c>
      <c r="G462" s="6">
        <v>-16.87</v>
      </c>
      <c r="H462" s="3" t="s">
        <v>430</v>
      </c>
    </row>
    <row r="463" spans="1:8" ht="56" x14ac:dyDescent="0.15">
      <c r="A463">
        <v>465631533</v>
      </c>
      <c r="B463" t="s">
        <v>8</v>
      </c>
      <c r="C463">
        <v>20251229</v>
      </c>
      <c r="D463">
        <v>20251229</v>
      </c>
      <c r="E463" s="6">
        <v>6534.33</v>
      </c>
      <c r="F463" s="6">
        <v>4645.51</v>
      </c>
      <c r="G463" s="6">
        <v>-1888.82</v>
      </c>
      <c r="H463" s="3" t="s">
        <v>431</v>
      </c>
    </row>
    <row r="464" spans="1:8" ht="42" x14ac:dyDescent="0.15">
      <c r="A464">
        <v>465631533</v>
      </c>
      <c r="B464" t="s">
        <v>8</v>
      </c>
      <c r="C464">
        <v>20251229</v>
      </c>
      <c r="D464">
        <v>20251229</v>
      </c>
      <c r="E464" s="6">
        <v>4645.51</v>
      </c>
      <c r="F464" s="6">
        <v>4629.51</v>
      </c>
      <c r="G464" s="6">
        <v>-16</v>
      </c>
      <c r="H464" s="3" t="s">
        <v>432</v>
      </c>
    </row>
    <row r="465" spans="1:8" ht="56" x14ac:dyDescent="0.15">
      <c r="A465">
        <v>465631533</v>
      </c>
      <c r="B465" t="s">
        <v>8</v>
      </c>
      <c r="C465">
        <v>20251229</v>
      </c>
      <c r="D465">
        <v>20251229</v>
      </c>
      <c r="E465" s="6">
        <v>4629.51</v>
      </c>
      <c r="F465" s="6">
        <v>4464.83</v>
      </c>
      <c r="G465" s="6">
        <v>-164.68</v>
      </c>
      <c r="H465" s="3" t="s">
        <v>433</v>
      </c>
    </row>
    <row r="466" spans="1:8" ht="56" x14ac:dyDescent="0.15">
      <c r="A466">
        <v>465631533</v>
      </c>
      <c r="B466" t="s">
        <v>8</v>
      </c>
      <c r="C466">
        <v>20251229</v>
      </c>
      <c r="D466">
        <v>20251229</v>
      </c>
      <c r="E466" s="6">
        <v>4464.83</v>
      </c>
      <c r="F466" s="6">
        <v>4409.42</v>
      </c>
      <c r="G466" s="6">
        <v>-55.41</v>
      </c>
      <c r="H466" s="3" t="s">
        <v>434</v>
      </c>
    </row>
    <row r="467" spans="1:8" ht="70" x14ac:dyDescent="0.15">
      <c r="A467">
        <v>465631533</v>
      </c>
      <c r="B467" t="s">
        <v>8</v>
      </c>
      <c r="C467">
        <v>20251229</v>
      </c>
      <c r="D467">
        <v>20251229</v>
      </c>
      <c r="E467" s="6">
        <v>4409.42</v>
      </c>
      <c r="F467" s="6">
        <v>4377.42</v>
      </c>
      <c r="G467" s="6">
        <v>-32</v>
      </c>
      <c r="H467" s="3" t="s">
        <v>435</v>
      </c>
    </row>
    <row r="468" spans="1:8" ht="42" x14ac:dyDescent="0.15">
      <c r="A468">
        <v>465631533</v>
      </c>
      <c r="B468" t="s">
        <v>8</v>
      </c>
      <c r="C468">
        <v>20251229</v>
      </c>
      <c r="D468">
        <v>20251229</v>
      </c>
      <c r="E468" s="6">
        <v>4377.42</v>
      </c>
      <c r="F468" s="6">
        <v>4367.47</v>
      </c>
      <c r="G468" s="6">
        <v>-9.9499999999999993</v>
      </c>
      <c r="H468" s="3" t="s">
        <v>436</v>
      </c>
    </row>
    <row r="469" spans="1:8" ht="56" x14ac:dyDescent="0.15">
      <c r="A469">
        <v>465631533</v>
      </c>
      <c r="B469" t="s">
        <v>8</v>
      </c>
      <c r="C469">
        <v>20251229</v>
      </c>
      <c r="D469">
        <v>20251229</v>
      </c>
      <c r="E469" s="6">
        <v>4367.47</v>
      </c>
      <c r="F469" s="6">
        <v>3938.32</v>
      </c>
      <c r="G469" s="6">
        <v>-429.15</v>
      </c>
      <c r="H469" s="3" t="s">
        <v>437</v>
      </c>
    </row>
    <row r="470" spans="1:8" ht="56" x14ac:dyDescent="0.15">
      <c r="A470">
        <v>465631533</v>
      </c>
      <c r="B470" t="s">
        <v>8</v>
      </c>
      <c r="C470">
        <v>20251229</v>
      </c>
      <c r="D470">
        <v>20251229</v>
      </c>
      <c r="E470" s="6">
        <v>3938.32</v>
      </c>
      <c r="F470" s="6">
        <v>3670.76</v>
      </c>
      <c r="G470" s="6">
        <v>-267.56</v>
      </c>
      <c r="H470" s="3" t="s">
        <v>438</v>
      </c>
    </row>
    <row r="471" spans="1:8" ht="84" x14ac:dyDescent="0.15">
      <c r="A471">
        <v>465631533</v>
      </c>
      <c r="B471" t="s">
        <v>8</v>
      </c>
      <c r="C471">
        <v>20251229</v>
      </c>
      <c r="D471">
        <v>20251229</v>
      </c>
      <c r="E471" s="6">
        <v>3670.76</v>
      </c>
      <c r="F471" s="6">
        <v>3513.79</v>
      </c>
      <c r="G471" s="6">
        <v>-156.97</v>
      </c>
      <c r="H471" s="3" t="s">
        <v>439</v>
      </c>
    </row>
    <row r="472" spans="1:8" ht="70" x14ac:dyDescent="0.15">
      <c r="A472">
        <v>465631533</v>
      </c>
      <c r="B472" t="s">
        <v>8</v>
      </c>
      <c r="C472">
        <v>20251229</v>
      </c>
      <c r="D472">
        <v>20251229</v>
      </c>
      <c r="E472" s="6">
        <v>3513.79</v>
      </c>
      <c r="F472" s="6">
        <v>3499.79</v>
      </c>
      <c r="G472" s="6">
        <v>-14</v>
      </c>
      <c r="H472" s="3" t="s">
        <v>440</v>
      </c>
    </row>
    <row r="473" spans="1:8" ht="28" x14ac:dyDescent="0.15">
      <c r="A473">
        <v>465631533</v>
      </c>
      <c r="B473" t="s">
        <v>8</v>
      </c>
      <c r="C473">
        <v>20251230</v>
      </c>
      <c r="D473">
        <v>20251230</v>
      </c>
      <c r="E473" s="6">
        <v>3499.79</v>
      </c>
      <c r="F473" s="6">
        <v>3449.79</v>
      </c>
      <c r="G473" s="6">
        <v>-50</v>
      </c>
      <c r="H473" s="3" t="s">
        <v>441</v>
      </c>
    </row>
    <row r="474" spans="1:8" ht="28" x14ac:dyDescent="0.15">
      <c r="A474">
        <v>465631533</v>
      </c>
      <c r="B474" t="s">
        <v>8</v>
      </c>
      <c r="C474">
        <v>20251230</v>
      </c>
      <c r="D474">
        <v>20251230</v>
      </c>
      <c r="E474" s="6">
        <v>3449.79</v>
      </c>
      <c r="F474" s="6">
        <v>3197.29</v>
      </c>
      <c r="G474" s="6">
        <v>-252.5</v>
      </c>
      <c r="H474" s="3" t="s">
        <v>442</v>
      </c>
    </row>
    <row r="475" spans="1:8" ht="28" x14ac:dyDescent="0.15">
      <c r="A475">
        <v>465631533</v>
      </c>
      <c r="B475" t="s">
        <v>8</v>
      </c>
      <c r="C475">
        <v>20251230</v>
      </c>
      <c r="D475">
        <v>20251230</v>
      </c>
      <c r="E475" s="6">
        <v>3197.29</v>
      </c>
      <c r="F475" s="6">
        <v>3111.08</v>
      </c>
      <c r="G475" s="6">
        <v>-86.21</v>
      </c>
      <c r="H475" s="3" t="s">
        <v>443</v>
      </c>
    </row>
    <row r="476" spans="1:8" ht="28" x14ac:dyDescent="0.15">
      <c r="A476">
        <v>465631533</v>
      </c>
      <c r="B476" t="s">
        <v>8</v>
      </c>
      <c r="C476">
        <v>20251230</v>
      </c>
      <c r="D476">
        <v>20251230</v>
      </c>
      <c r="E476" s="6">
        <v>3111.08</v>
      </c>
      <c r="F476" s="6">
        <v>3098.08</v>
      </c>
      <c r="G476" s="6">
        <v>-13</v>
      </c>
      <c r="H476" s="3" t="s">
        <v>444</v>
      </c>
    </row>
    <row r="477" spans="1:8" ht="28" x14ac:dyDescent="0.15">
      <c r="A477">
        <v>465631533</v>
      </c>
      <c r="B477" t="s">
        <v>8</v>
      </c>
      <c r="C477">
        <v>20251230</v>
      </c>
      <c r="D477">
        <v>20251230</v>
      </c>
      <c r="E477" s="6">
        <v>3098.08</v>
      </c>
      <c r="F477" s="6">
        <v>3082.38</v>
      </c>
      <c r="G477" s="6">
        <v>-15.7</v>
      </c>
      <c r="H477" s="3" t="s">
        <v>445</v>
      </c>
    </row>
    <row r="478" spans="1:8" ht="28" x14ac:dyDescent="0.15">
      <c r="A478">
        <v>465631533</v>
      </c>
      <c r="B478" t="s">
        <v>8</v>
      </c>
      <c r="C478">
        <v>20251231</v>
      </c>
      <c r="D478">
        <v>20251231</v>
      </c>
      <c r="E478" s="6">
        <v>3082.38</v>
      </c>
      <c r="F478" s="6">
        <v>3582.38</v>
      </c>
      <c r="G478" s="6">
        <v>500</v>
      </c>
      <c r="H478" s="3" t="s">
        <v>359</v>
      </c>
    </row>
    <row r="479" spans="1:8" ht="42" x14ac:dyDescent="0.15">
      <c r="A479">
        <v>465631533</v>
      </c>
      <c r="B479" t="s">
        <v>8</v>
      </c>
      <c r="C479">
        <v>20251231</v>
      </c>
      <c r="D479">
        <v>20251231</v>
      </c>
      <c r="E479" s="6">
        <v>3582.38</v>
      </c>
      <c r="F479" s="6">
        <v>209.93</v>
      </c>
      <c r="G479" s="6">
        <v>-3372.45</v>
      </c>
      <c r="H479" s="3" t="s">
        <v>446</v>
      </c>
    </row>
    <row r="480" spans="1:8" ht="28" x14ac:dyDescent="0.15">
      <c r="A480">
        <v>465631533</v>
      </c>
      <c r="B480" t="s">
        <v>8</v>
      </c>
      <c r="C480">
        <v>20251231</v>
      </c>
      <c r="D480">
        <v>20251231</v>
      </c>
      <c r="E480" s="6">
        <v>209.93</v>
      </c>
      <c r="F480" s="6">
        <v>709.93</v>
      </c>
      <c r="G480" s="6">
        <v>500</v>
      </c>
      <c r="H480" s="3" t="s">
        <v>359</v>
      </c>
    </row>
    <row r="481" spans="1:8" ht="42" x14ac:dyDescent="0.15">
      <c r="A481">
        <v>465631533</v>
      </c>
      <c r="B481" t="s">
        <v>8</v>
      </c>
      <c r="C481">
        <v>20251231</v>
      </c>
      <c r="D481">
        <v>20251231</v>
      </c>
      <c r="E481" s="6">
        <v>709.93</v>
      </c>
      <c r="F481" s="6">
        <v>209.93</v>
      </c>
      <c r="G481" s="6">
        <v>-500</v>
      </c>
      <c r="H481" s="3" t="s">
        <v>447</v>
      </c>
    </row>
    <row r="482" spans="1:8" ht="42" x14ac:dyDescent="0.15">
      <c r="A482">
        <v>465631533</v>
      </c>
      <c r="B482" t="s">
        <v>8</v>
      </c>
      <c r="C482">
        <v>20260102</v>
      </c>
      <c r="D482">
        <v>20260102</v>
      </c>
      <c r="E482" s="6">
        <v>209.93</v>
      </c>
      <c r="F482" s="6">
        <v>185.93</v>
      </c>
      <c r="G482" s="6">
        <v>-24</v>
      </c>
      <c r="H482" s="3" t="s">
        <v>448</v>
      </c>
    </row>
    <row r="483" spans="1:8" ht="56" x14ac:dyDescent="0.15">
      <c r="A483">
        <v>465631533</v>
      </c>
      <c r="B483" t="s">
        <v>8</v>
      </c>
      <c r="C483">
        <v>20260102</v>
      </c>
      <c r="D483">
        <v>20260102</v>
      </c>
      <c r="E483" s="6">
        <v>185.93</v>
      </c>
      <c r="F483" s="6">
        <v>59.13</v>
      </c>
      <c r="G483" s="6">
        <v>-126.8</v>
      </c>
      <c r="H483" s="3" t="s">
        <v>449</v>
      </c>
    </row>
    <row r="484" spans="1:8" ht="42" x14ac:dyDescent="0.15">
      <c r="A484">
        <v>465631533</v>
      </c>
      <c r="B484" t="s">
        <v>8</v>
      </c>
      <c r="C484">
        <v>20260102</v>
      </c>
      <c r="D484">
        <v>20260102</v>
      </c>
      <c r="E484" s="6">
        <v>59.13</v>
      </c>
      <c r="F484" s="6">
        <v>767.03</v>
      </c>
      <c r="G484" s="6">
        <v>707.9</v>
      </c>
      <c r="H484" s="3" t="s">
        <v>450</v>
      </c>
    </row>
    <row r="485" spans="1:8" ht="42" x14ac:dyDescent="0.15">
      <c r="A485">
        <v>465631533</v>
      </c>
      <c r="B485" t="s">
        <v>8</v>
      </c>
      <c r="C485">
        <v>20260102</v>
      </c>
      <c r="D485">
        <v>20260102</v>
      </c>
      <c r="E485" s="6">
        <v>767.03</v>
      </c>
      <c r="F485" s="6">
        <v>517.03</v>
      </c>
      <c r="G485" s="6">
        <v>-250</v>
      </c>
      <c r="H485" s="3" t="s">
        <v>451</v>
      </c>
    </row>
    <row r="486" spans="1:8" ht="28" x14ac:dyDescent="0.15">
      <c r="A486">
        <v>465631533</v>
      </c>
      <c r="B486" t="s">
        <v>8</v>
      </c>
      <c r="C486">
        <v>20260102</v>
      </c>
      <c r="D486">
        <v>20260102</v>
      </c>
      <c r="E486" s="6">
        <v>517.03</v>
      </c>
      <c r="F486" s="6">
        <v>228.66</v>
      </c>
      <c r="G486" s="6">
        <v>-288.37</v>
      </c>
      <c r="H486" s="3" t="s">
        <v>452</v>
      </c>
    </row>
    <row r="487" spans="1:8" ht="28" x14ac:dyDescent="0.15">
      <c r="A487">
        <v>465631533</v>
      </c>
      <c r="B487" t="s">
        <v>8</v>
      </c>
      <c r="C487">
        <v>20260102</v>
      </c>
      <c r="D487">
        <v>20260102</v>
      </c>
      <c r="E487" s="6">
        <v>228.66</v>
      </c>
      <c r="F487" s="6">
        <v>223.36</v>
      </c>
      <c r="G487" s="6">
        <v>-5.3</v>
      </c>
      <c r="H487" s="3" t="s">
        <v>453</v>
      </c>
    </row>
    <row r="488" spans="1:8" ht="28" x14ac:dyDescent="0.15">
      <c r="A488">
        <v>465631533</v>
      </c>
      <c r="B488" t="s">
        <v>8</v>
      </c>
      <c r="C488">
        <v>20260102</v>
      </c>
      <c r="D488">
        <v>20260102</v>
      </c>
      <c r="E488" s="6">
        <v>223.36</v>
      </c>
      <c r="F488" s="6">
        <v>191.22</v>
      </c>
      <c r="G488" s="6">
        <v>-32.14</v>
      </c>
      <c r="H488" s="3" t="s">
        <v>454</v>
      </c>
    </row>
    <row r="489" spans="1:8" ht="28" x14ac:dyDescent="0.15">
      <c r="A489">
        <v>465631533</v>
      </c>
      <c r="B489" t="s">
        <v>8</v>
      </c>
      <c r="C489">
        <v>20260102</v>
      </c>
      <c r="D489">
        <v>20260102</v>
      </c>
      <c r="E489" s="6">
        <v>191.22</v>
      </c>
      <c r="F489" s="6">
        <v>145.52000000000001</v>
      </c>
      <c r="G489" s="6">
        <v>-45.7</v>
      </c>
      <c r="H489" s="3" t="s">
        <v>455</v>
      </c>
    </row>
    <row r="490" spans="1:8" ht="28" x14ac:dyDescent="0.15">
      <c r="A490">
        <v>465631533</v>
      </c>
      <c r="B490" t="s">
        <v>8</v>
      </c>
      <c r="C490">
        <v>20260102</v>
      </c>
      <c r="D490">
        <v>20260102</v>
      </c>
      <c r="E490" s="6">
        <v>145.52000000000001</v>
      </c>
      <c r="F490" s="6">
        <v>108.19</v>
      </c>
      <c r="G490" s="6">
        <v>-37.33</v>
      </c>
      <c r="H490" s="3" t="s">
        <v>456</v>
      </c>
    </row>
    <row r="491" spans="1:8" ht="28" x14ac:dyDescent="0.15">
      <c r="A491">
        <v>465631533</v>
      </c>
      <c r="B491" t="s">
        <v>8</v>
      </c>
      <c r="C491">
        <v>20260103</v>
      </c>
      <c r="D491">
        <v>20260103</v>
      </c>
      <c r="E491" s="6">
        <v>108.19</v>
      </c>
      <c r="F491" s="6">
        <v>60.24</v>
      </c>
      <c r="G491" s="6">
        <v>-47.95</v>
      </c>
      <c r="H491" s="3" t="s">
        <v>457</v>
      </c>
    </row>
    <row r="492" spans="1:8" ht="28" x14ac:dyDescent="0.15">
      <c r="A492">
        <v>465631533</v>
      </c>
      <c r="B492" t="s">
        <v>8</v>
      </c>
      <c r="C492">
        <v>20260103</v>
      </c>
      <c r="D492">
        <v>20260103</v>
      </c>
      <c r="E492" s="6">
        <v>60.24</v>
      </c>
      <c r="F492" s="6">
        <v>58.55</v>
      </c>
      <c r="G492" s="6">
        <v>-1.69</v>
      </c>
      <c r="H492" s="3" t="s">
        <v>457</v>
      </c>
    </row>
    <row r="493" spans="1:8" ht="28" x14ac:dyDescent="0.15">
      <c r="A493">
        <v>465631533</v>
      </c>
      <c r="B493" t="s">
        <v>8</v>
      </c>
      <c r="C493">
        <v>20260104</v>
      </c>
      <c r="D493">
        <v>20260104</v>
      </c>
      <c r="E493" s="6">
        <v>58.55</v>
      </c>
      <c r="F493" s="6">
        <v>41.47</v>
      </c>
      <c r="G493" s="6">
        <v>-17.079999999999998</v>
      </c>
      <c r="H493" s="3" t="s">
        <v>458</v>
      </c>
    </row>
    <row r="494" spans="1:8" ht="42" x14ac:dyDescent="0.15">
      <c r="A494">
        <v>465631533</v>
      </c>
      <c r="B494" t="s">
        <v>8</v>
      </c>
      <c r="C494">
        <v>20260108</v>
      </c>
      <c r="D494">
        <v>20260108</v>
      </c>
      <c r="E494" s="6">
        <v>41.47</v>
      </c>
      <c r="F494" s="6">
        <v>17.22</v>
      </c>
      <c r="G494" s="6">
        <v>-24.25</v>
      </c>
      <c r="H494" s="3" t="s">
        <v>459</v>
      </c>
    </row>
    <row r="495" spans="1:8" ht="28" x14ac:dyDescent="0.15">
      <c r="A495">
        <v>546511686</v>
      </c>
      <c r="B495" t="s">
        <v>8</v>
      </c>
      <c r="C495">
        <v>20250919</v>
      </c>
      <c r="D495">
        <v>20250919</v>
      </c>
      <c r="E495" s="7">
        <v>0</v>
      </c>
      <c r="F495" s="7">
        <v>20000</v>
      </c>
      <c r="G495" s="7">
        <v>20000</v>
      </c>
      <c r="H495" s="3" t="s">
        <v>272</v>
      </c>
    </row>
    <row r="496" spans="1:8" ht="28" x14ac:dyDescent="0.15">
      <c r="A496">
        <v>546511686</v>
      </c>
      <c r="B496" t="s">
        <v>8</v>
      </c>
      <c r="C496">
        <v>20251027</v>
      </c>
      <c r="D496">
        <v>20251027</v>
      </c>
      <c r="E496" s="7">
        <v>20000</v>
      </c>
      <c r="F496" s="7">
        <v>15000</v>
      </c>
      <c r="G496" s="7">
        <v>-5000</v>
      </c>
      <c r="H496" s="3" t="s">
        <v>10</v>
      </c>
    </row>
    <row r="497" spans="1:8" ht="28" x14ac:dyDescent="0.15">
      <c r="A497">
        <v>546511686</v>
      </c>
      <c r="B497" t="s">
        <v>8</v>
      </c>
      <c r="C497">
        <v>20251103</v>
      </c>
      <c r="D497">
        <v>20251103</v>
      </c>
      <c r="E497" s="7">
        <v>15000</v>
      </c>
      <c r="F497" s="7">
        <v>13500</v>
      </c>
      <c r="G497" s="7">
        <v>-1500</v>
      </c>
      <c r="H497" s="3" t="s">
        <v>15</v>
      </c>
    </row>
    <row r="498" spans="1:8" ht="28" x14ac:dyDescent="0.15">
      <c r="A498">
        <v>546511686</v>
      </c>
      <c r="B498" t="s">
        <v>8</v>
      </c>
      <c r="C498">
        <v>20251104</v>
      </c>
      <c r="D498">
        <v>20251104</v>
      </c>
      <c r="E498" s="7">
        <v>13500</v>
      </c>
      <c r="F498" s="7">
        <v>13000</v>
      </c>
      <c r="G498" s="7">
        <v>-500</v>
      </c>
      <c r="H498" s="3" t="s">
        <v>10</v>
      </c>
    </row>
    <row r="499" spans="1:8" ht="28" x14ac:dyDescent="0.15">
      <c r="A499">
        <v>546511686</v>
      </c>
      <c r="B499" t="s">
        <v>8</v>
      </c>
      <c r="C499">
        <v>20251115</v>
      </c>
      <c r="D499">
        <v>20251115</v>
      </c>
      <c r="E499" s="7">
        <v>13000</v>
      </c>
      <c r="F499" s="7">
        <v>12000</v>
      </c>
      <c r="G499" s="7">
        <v>-1000</v>
      </c>
      <c r="H499" s="3" t="s">
        <v>10</v>
      </c>
    </row>
    <row r="500" spans="1:8" ht="28" x14ac:dyDescent="0.15">
      <c r="A500">
        <v>546511686</v>
      </c>
      <c r="B500" t="s">
        <v>8</v>
      </c>
      <c r="C500">
        <v>20251120</v>
      </c>
      <c r="D500">
        <v>20251120</v>
      </c>
      <c r="E500" s="7">
        <v>12000</v>
      </c>
      <c r="F500" s="7">
        <v>11500</v>
      </c>
      <c r="G500" s="7">
        <v>-500</v>
      </c>
      <c r="H500" s="3" t="s">
        <v>10</v>
      </c>
    </row>
    <row r="501" spans="1:8" ht="28" x14ac:dyDescent="0.15">
      <c r="A501">
        <v>546511686</v>
      </c>
      <c r="B501" t="s">
        <v>8</v>
      </c>
      <c r="C501">
        <v>20251127</v>
      </c>
      <c r="D501">
        <v>20251127</v>
      </c>
      <c r="E501" s="7">
        <v>11500</v>
      </c>
      <c r="F501" s="7">
        <v>13500</v>
      </c>
      <c r="G501" s="7">
        <v>2000</v>
      </c>
      <c r="H501" s="3" t="s">
        <v>460</v>
      </c>
    </row>
    <row r="502" spans="1:8" ht="28" x14ac:dyDescent="0.15">
      <c r="A502">
        <v>546511686</v>
      </c>
      <c r="B502" t="s">
        <v>8</v>
      </c>
      <c r="C502">
        <v>20251127</v>
      </c>
      <c r="D502">
        <v>20251127</v>
      </c>
      <c r="E502" s="7">
        <v>13500</v>
      </c>
      <c r="F502" s="7">
        <v>9500</v>
      </c>
      <c r="G502" s="7">
        <v>-4000</v>
      </c>
      <c r="H502" s="3" t="s">
        <v>10</v>
      </c>
    </row>
    <row r="503" spans="1:8" ht="42" x14ac:dyDescent="0.15">
      <c r="A503">
        <v>546511686</v>
      </c>
      <c r="B503" t="s">
        <v>8</v>
      </c>
      <c r="C503">
        <v>20251203</v>
      </c>
      <c r="D503">
        <v>20251203</v>
      </c>
      <c r="E503" s="7">
        <v>9500</v>
      </c>
      <c r="F503" s="7">
        <v>8500</v>
      </c>
      <c r="G503" s="7">
        <v>-1000</v>
      </c>
      <c r="H503" s="3" t="s">
        <v>461</v>
      </c>
    </row>
    <row r="504" spans="1:8" ht="42" x14ac:dyDescent="0.15">
      <c r="A504">
        <v>546511686</v>
      </c>
      <c r="B504" t="s">
        <v>8</v>
      </c>
      <c r="C504">
        <v>20251206</v>
      </c>
      <c r="D504">
        <v>20251206</v>
      </c>
      <c r="E504" s="7">
        <v>8500</v>
      </c>
      <c r="F504" s="7">
        <v>8000</v>
      </c>
      <c r="G504" s="7">
        <v>-500</v>
      </c>
      <c r="H504" s="3" t="s">
        <v>461</v>
      </c>
    </row>
    <row r="505" spans="1:8" ht="42" x14ac:dyDescent="0.15">
      <c r="A505">
        <v>546511686</v>
      </c>
      <c r="B505" t="s">
        <v>8</v>
      </c>
      <c r="C505">
        <v>20251208</v>
      </c>
      <c r="D505">
        <v>20251208</v>
      </c>
      <c r="E505" s="7">
        <v>8000</v>
      </c>
      <c r="F505" s="7">
        <v>7000</v>
      </c>
      <c r="G505" s="7">
        <v>-1000</v>
      </c>
      <c r="H505" s="3" t="s">
        <v>461</v>
      </c>
    </row>
    <row r="506" spans="1:8" ht="42" x14ac:dyDescent="0.15">
      <c r="A506">
        <v>546511686</v>
      </c>
      <c r="B506" t="s">
        <v>8</v>
      </c>
      <c r="C506">
        <v>20251217</v>
      </c>
      <c r="D506">
        <v>20251217</v>
      </c>
      <c r="E506" s="7">
        <v>7000</v>
      </c>
      <c r="F506" s="7">
        <v>6750</v>
      </c>
      <c r="G506" s="7">
        <v>-250</v>
      </c>
      <c r="H506" s="3" t="s">
        <v>461</v>
      </c>
    </row>
    <row r="507" spans="1:8" ht="42" x14ac:dyDescent="0.15">
      <c r="A507">
        <v>546511686</v>
      </c>
      <c r="B507" t="s">
        <v>8</v>
      </c>
      <c r="C507">
        <v>20251228</v>
      </c>
      <c r="D507">
        <v>20251228</v>
      </c>
      <c r="E507" s="7">
        <v>6750</v>
      </c>
      <c r="F507" s="7">
        <v>4750</v>
      </c>
      <c r="G507" s="7">
        <v>-2000</v>
      </c>
      <c r="H507" s="3" t="s">
        <v>461</v>
      </c>
    </row>
    <row r="508" spans="1:8" ht="42" x14ac:dyDescent="0.15">
      <c r="A508">
        <v>546511686</v>
      </c>
      <c r="B508" t="s">
        <v>8</v>
      </c>
      <c r="C508">
        <v>20251228</v>
      </c>
      <c r="D508">
        <v>20251228</v>
      </c>
      <c r="E508" s="7">
        <v>4750</v>
      </c>
      <c r="F508" s="7">
        <v>3000</v>
      </c>
      <c r="G508" s="7">
        <v>-1750</v>
      </c>
      <c r="H508" s="3" t="s">
        <v>461</v>
      </c>
    </row>
    <row r="509" spans="1:8" ht="42" x14ac:dyDescent="0.15">
      <c r="A509">
        <v>546511686</v>
      </c>
      <c r="B509" t="s">
        <v>8</v>
      </c>
      <c r="C509">
        <v>20251231</v>
      </c>
      <c r="D509">
        <v>20251231</v>
      </c>
      <c r="E509" s="7">
        <v>3000</v>
      </c>
      <c r="F509" s="7">
        <v>2500</v>
      </c>
      <c r="G509" s="7">
        <v>-500</v>
      </c>
      <c r="H509" s="3" t="s">
        <v>461</v>
      </c>
    </row>
    <row r="510" spans="1:8" ht="42" x14ac:dyDescent="0.15">
      <c r="A510">
        <v>546511686</v>
      </c>
      <c r="B510" t="s">
        <v>8</v>
      </c>
      <c r="C510">
        <v>20251231</v>
      </c>
      <c r="D510">
        <v>20251231</v>
      </c>
      <c r="E510" s="7">
        <v>2500</v>
      </c>
      <c r="F510" s="7">
        <v>2000</v>
      </c>
      <c r="G510" s="7">
        <v>-500</v>
      </c>
      <c r="H510" s="3" t="s">
        <v>461</v>
      </c>
    </row>
    <row r="511" spans="1:8" ht="28" x14ac:dyDescent="0.15">
      <c r="A511">
        <v>546511686</v>
      </c>
      <c r="B511" t="s">
        <v>8</v>
      </c>
      <c r="C511">
        <v>20260101</v>
      </c>
      <c r="D511">
        <v>20251231</v>
      </c>
      <c r="E511" s="7">
        <v>2000</v>
      </c>
      <c r="F511" s="7">
        <v>2049.5300000000002</v>
      </c>
      <c r="G511" s="7">
        <v>49.53</v>
      </c>
      <c r="H511" s="3" t="s">
        <v>462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7ECEF-FF91-5049-8031-0CCBE8AC3426}">
  <dimension ref="A1:H24"/>
  <sheetViews>
    <sheetView workbookViewId="0">
      <selection activeCell="C8" sqref="C8:C12"/>
    </sheetView>
  </sheetViews>
  <sheetFormatPr baseColWidth="10" defaultRowHeight="13" x14ac:dyDescent="0.15"/>
  <cols>
    <col min="1" max="1" width="41.5" bestFit="1" customWidth="1"/>
    <col min="2" max="2" width="25.83203125" bestFit="1" customWidth="1"/>
    <col min="3" max="3" width="16.33203125" customWidth="1"/>
    <col min="4" max="4" width="31.1640625" customWidth="1"/>
    <col min="6" max="6" width="19.5" bestFit="1" customWidth="1"/>
    <col min="7" max="7" width="8.5" bestFit="1" customWidth="1"/>
    <col min="8" max="8" width="9.1640625" bestFit="1" customWidth="1"/>
  </cols>
  <sheetData>
    <row r="1" spans="1:8" ht="18" x14ac:dyDescent="0.2">
      <c r="A1" s="8" t="s">
        <v>463</v>
      </c>
    </row>
    <row r="2" spans="1:8" x14ac:dyDescent="0.15">
      <c r="A2" s="9" t="s">
        <v>464</v>
      </c>
    </row>
    <row r="4" spans="1:8" x14ac:dyDescent="0.15">
      <c r="A4" s="10" t="s">
        <v>465</v>
      </c>
      <c r="B4" s="10" t="s">
        <v>466</v>
      </c>
      <c r="C4" s="11" t="s">
        <v>467</v>
      </c>
      <c r="D4" s="11" t="s">
        <v>468</v>
      </c>
      <c r="F4" s="10" t="s">
        <v>497</v>
      </c>
      <c r="G4" s="11" t="s">
        <v>467</v>
      </c>
      <c r="H4" s="11" t="s">
        <v>498</v>
      </c>
    </row>
    <row r="5" spans="1:8" x14ac:dyDescent="0.15">
      <c r="A5" s="12" t="s">
        <v>469</v>
      </c>
      <c r="B5" t="s">
        <v>470</v>
      </c>
      <c r="C5" s="13">
        <v>3372.45</v>
      </c>
      <c r="D5" s="13">
        <f t="shared" ref="D5:D22" si="0">C5*12</f>
        <v>40469.399999999994</v>
      </c>
      <c r="F5" s="12" t="s">
        <v>469</v>
      </c>
      <c r="G5" s="13">
        <f>SUMIF(A:A,"Housing",C:C)</f>
        <v>3372.45</v>
      </c>
      <c r="H5" s="23">
        <f t="shared" ref="H5:H11" si="1">G5/$C$24</f>
        <v>0.65930102303140259</v>
      </c>
    </row>
    <row r="6" spans="1:8" x14ac:dyDescent="0.15">
      <c r="A6" s="14" t="s">
        <v>471</v>
      </c>
      <c r="B6" t="s">
        <v>472</v>
      </c>
      <c r="C6" s="13">
        <v>462</v>
      </c>
      <c r="D6" s="13">
        <f t="shared" si="0"/>
        <v>5544</v>
      </c>
      <c r="F6" s="15" t="s">
        <v>474</v>
      </c>
      <c r="G6" s="13">
        <f>SUMIF(A:A,"Insurance",C:C)</f>
        <v>883.84999999999991</v>
      </c>
      <c r="H6" s="23">
        <f t="shared" si="1"/>
        <v>0.17278928055458351</v>
      </c>
    </row>
    <row r="7" spans="1:8" x14ac:dyDescent="0.15">
      <c r="A7" s="14" t="s">
        <v>471</v>
      </c>
      <c r="B7" t="s">
        <v>473</v>
      </c>
      <c r="C7" s="13">
        <v>24</v>
      </c>
      <c r="D7" s="13">
        <f t="shared" si="0"/>
        <v>288</v>
      </c>
      <c r="F7" s="14" t="s">
        <v>471</v>
      </c>
      <c r="G7" s="13">
        <f>SUMIF(A:A,"Utilities",C:C)</f>
        <v>486</v>
      </c>
      <c r="H7" s="23">
        <f t="shared" si="1"/>
        <v>9.5011133506282278E-2</v>
      </c>
    </row>
    <row r="8" spans="1:8" x14ac:dyDescent="0.15">
      <c r="A8" s="15" t="s">
        <v>474</v>
      </c>
      <c r="B8" t="s">
        <v>475</v>
      </c>
      <c r="C8" s="13">
        <v>423.45</v>
      </c>
      <c r="D8" s="13">
        <f t="shared" si="0"/>
        <v>5081.3999999999996</v>
      </c>
      <c r="F8" s="16" t="s">
        <v>481</v>
      </c>
      <c r="G8" s="13">
        <f>SUMIF(A:A,"Telecom",C:C)</f>
        <v>142.88999999999999</v>
      </c>
      <c r="H8" s="23">
        <f t="shared" si="1"/>
        <v>2.7934446227803854E-2</v>
      </c>
    </row>
    <row r="9" spans="1:8" x14ac:dyDescent="0.15">
      <c r="A9" s="15" t="s">
        <v>474</v>
      </c>
      <c r="B9" t="s">
        <v>476</v>
      </c>
      <c r="C9" s="13">
        <v>156.97</v>
      </c>
      <c r="D9" s="13">
        <f t="shared" si="0"/>
        <v>1883.6399999999999</v>
      </c>
      <c r="F9" s="17" t="s">
        <v>484</v>
      </c>
      <c r="G9" s="13">
        <f>SUMIF(A:A,"Finance",C:C)</f>
        <v>65</v>
      </c>
      <c r="H9" s="23">
        <f t="shared" si="1"/>
        <v>1.2707250366066559E-2</v>
      </c>
    </row>
    <row r="10" spans="1:8" x14ac:dyDescent="0.15">
      <c r="A10" s="15" t="s">
        <v>474</v>
      </c>
      <c r="B10" t="s">
        <v>477</v>
      </c>
      <c r="C10" s="13">
        <v>126.8</v>
      </c>
      <c r="D10" s="13">
        <f t="shared" si="0"/>
        <v>1521.6</v>
      </c>
      <c r="F10" s="18" t="s">
        <v>486</v>
      </c>
      <c r="G10" s="13">
        <f>SUMIF(A:A,"Security",C:C)</f>
        <v>61.75</v>
      </c>
      <c r="H10" s="23">
        <f t="shared" si="1"/>
        <v>1.2071887847763231E-2</v>
      </c>
    </row>
    <row r="11" spans="1:8" x14ac:dyDescent="0.15">
      <c r="A11" s="15" t="s">
        <v>474</v>
      </c>
      <c r="B11" t="s">
        <v>478</v>
      </c>
      <c r="C11" s="13">
        <v>120.15</v>
      </c>
      <c r="D11" s="13">
        <f t="shared" si="0"/>
        <v>1441.8000000000002</v>
      </c>
      <c r="F11" s="21" t="s">
        <v>499</v>
      </c>
      <c r="G11" s="13">
        <f>SUMIF(A:A,"Taxes",C:C)+SUMIF(A:A,"Subscriptions",C:C)+SUMIF(A:A,"Bank",C:C)</f>
        <v>103.25</v>
      </c>
      <c r="H11" s="23">
        <f t="shared" si="1"/>
        <v>2.0184978466098034E-2</v>
      </c>
    </row>
    <row r="12" spans="1:8" x14ac:dyDescent="0.15">
      <c r="A12" s="15" t="s">
        <v>474</v>
      </c>
      <c r="B12" t="s">
        <v>479</v>
      </c>
      <c r="C12" s="13">
        <v>42.03</v>
      </c>
      <c r="D12" s="13">
        <f t="shared" si="0"/>
        <v>504.36</v>
      </c>
      <c r="F12" s="10" t="s">
        <v>496</v>
      </c>
      <c r="G12" s="22">
        <f>SUM(G5:G11)</f>
        <v>5115.1899999999996</v>
      </c>
      <c r="H12" s="24">
        <v>1</v>
      </c>
    </row>
    <row r="13" spans="1:8" x14ac:dyDescent="0.15">
      <c r="A13" s="15" t="s">
        <v>474</v>
      </c>
      <c r="B13" t="s">
        <v>480</v>
      </c>
      <c r="C13" s="13">
        <v>14.45</v>
      </c>
      <c r="D13" s="13">
        <f t="shared" si="0"/>
        <v>173.39999999999998</v>
      </c>
    </row>
    <row r="14" spans="1:8" x14ac:dyDescent="0.15">
      <c r="A14" s="16" t="s">
        <v>481</v>
      </c>
      <c r="B14" t="s">
        <v>482</v>
      </c>
      <c r="C14" s="13">
        <v>72.89</v>
      </c>
      <c r="D14" s="13">
        <f t="shared" si="0"/>
        <v>874.68000000000006</v>
      </c>
    </row>
    <row r="15" spans="1:8" x14ac:dyDescent="0.15">
      <c r="A15" s="16" t="s">
        <v>481</v>
      </c>
      <c r="B15" t="s">
        <v>483</v>
      </c>
      <c r="C15" s="13">
        <v>70</v>
      </c>
      <c r="D15" s="13">
        <f t="shared" si="0"/>
        <v>840</v>
      </c>
    </row>
    <row r="16" spans="1:8" x14ac:dyDescent="0.15">
      <c r="A16" s="17" t="s">
        <v>484</v>
      </c>
      <c r="B16" t="s">
        <v>485</v>
      </c>
      <c r="C16" s="13">
        <v>65</v>
      </c>
      <c r="D16" s="13">
        <f t="shared" si="0"/>
        <v>780</v>
      </c>
    </row>
    <row r="17" spans="1:4" x14ac:dyDescent="0.15">
      <c r="A17" s="18" t="s">
        <v>486</v>
      </c>
      <c r="B17" t="s">
        <v>487</v>
      </c>
      <c r="C17" s="13">
        <v>61.75</v>
      </c>
      <c r="D17" s="13">
        <f t="shared" si="0"/>
        <v>741</v>
      </c>
    </row>
    <row r="18" spans="1:4" x14ac:dyDescent="0.15">
      <c r="A18" s="19" t="s">
        <v>488</v>
      </c>
      <c r="B18" t="s">
        <v>489</v>
      </c>
      <c r="C18" s="13">
        <v>46</v>
      </c>
      <c r="D18" s="13">
        <f t="shared" si="0"/>
        <v>552</v>
      </c>
    </row>
    <row r="19" spans="1:4" x14ac:dyDescent="0.15">
      <c r="A19" s="20" t="s">
        <v>490</v>
      </c>
      <c r="B19" t="s">
        <v>491</v>
      </c>
      <c r="C19" s="13">
        <v>31</v>
      </c>
      <c r="D19" s="13">
        <f t="shared" si="0"/>
        <v>372</v>
      </c>
    </row>
    <row r="20" spans="1:4" x14ac:dyDescent="0.15">
      <c r="A20" s="20" t="s">
        <v>490</v>
      </c>
      <c r="B20" t="s">
        <v>492</v>
      </c>
      <c r="C20" s="13">
        <v>9.9499999999999993</v>
      </c>
      <c r="D20" s="13">
        <f t="shared" si="0"/>
        <v>119.39999999999999</v>
      </c>
    </row>
    <row r="21" spans="1:4" x14ac:dyDescent="0.15">
      <c r="A21" s="20" t="s">
        <v>490</v>
      </c>
      <c r="B21" t="s">
        <v>493</v>
      </c>
      <c r="C21" s="13">
        <v>8.9499999999999993</v>
      </c>
      <c r="D21" s="13">
        <f t="shared" si="0"/>
        <v>107.39999999999999</v>
      </c>
    </row>
    <row r="22" spans="1:4" x14ac:dyDescent="0.15">
      <c r="A22" s="21" t="s">
        <v>494</v>
      </c>
      <c r="B22" t="s">
        <v>495</v>
      </c>
      <c r="C22" s="13">
        <v>7.35</v>
      </c>
      <c r="D22" s="13">
        <f t="shared" si="0"/>
        <v>88.199999999999989</v>
      </c>
    </row>
    <row r="24" spans="1:4" x14ac:dyDescent="0.15">
      <c r="A24" s="10" t="s">
        <v>496</v>
      </c>
      <c r="C24" s="22">
        <f>SUM(C5:C22)</f>
        <v>5115.1899999999996</v>
      </c>
      <c r="D24" s="22">
        <f>SUM(D5:D22)</f>
        <v>61382.28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0D740-37AA-B14B-97F2-985F64CFA6E2}">
  <dimension ref="A1:U355"/>
  <sheetViews>
    <sheetView topLeftCell="D149" workbookViewId="0"/>
  </sheetViews>
  <sheetFormatPr baseColWidth="10" defaultRowHeight="13" x14ac:dyDescent="0.15"/>
  <sheetData>
    <row r="1" spans="1:21" x14ac:dyDescent="0.15">
      <c r="A1" s="25" t="s">
        <v>500</v>
      </c>
      <c r="B1" s="25" t="s">
        <v>501</v>
      </c>
      <c r="C1" s="25" t="s">
        <v>502</v>
      </c>
      <c r="D1" s="25" t="s">
        <v>503</v>
      </c>
      <c r="E1" s="25" t="s">
        <v>504</v>
      </c>
      <c r="F1" s="25" t="s">
        <v>505</v>
      </c>
      <c r="G1" s="25" t="s">
        <v>506</v>
      </c>
      <c r="H1" s="25" t="s">
        <v>507</v>
      </c>
      <c r="I1" s="25" t="s">
        <v>508</v>
      </c>
      <c r="J1" s="25" t="s">
        <v>509</v>
      </c>
      <c r="K1" s="25" t="s">
        <v>510</v>
      </c>
      <c r="L1" s="25" t="s">
        <v>511</v>
      </c>
      <c r="M1" s="25" t="s">
        <v>512</v>
      </c>
      <c r="N1" s="25" t="s">
        <v>513</v>
      </c>
      <c r="O1" s="25" t="s">
        <v>514</v>
      </c>
      <c r="P1" s="25" t="s">
        <v>515</v>
      </c>
      <c r="Q1" s="25" t="s">
        <v>516</v>
      </c>
      <c r="R1" s="25" t="s">
        <v>517</v>
      </c>
      <c r="S1" s="25" t="s">
        <v>518</v>
      </c>
      <c r="T1" s="25" t="s">
        <v>519</v>
      </c>
      <c r="U1" s="25" t="s">
        <v>520</v>
      </c>
    </row>
    <row r="2" spans="1:21" ht="16" x14ac:dyDescent="0.2">
      <c r="A2" s="25">
        <v>6982</v>
      </c>
      <c r="B2" s="26" t="s">
        <v>521</v>
      </c>
      <c r="C2" s="28">
        <v>46032</v>
      </c>
      <c r="D2" s="30" t="s">
        <v>522</v>
      </c>
      <c r="E2" s="26">
        <v>2.99</v>
      </c>
      <c r="F2" s="26" t="s">
        <v>8</v>
      </c>
      <c r="G2" s="26">
        <v>2.99</v>
      </c>
      <c r="H2" s="26" t="s">
        <v>8</v>
      </c>
      <c r="I2" s="26" t="s">
        <v>523</v>
      </c>
      <c r="J2" s="26" t="s">
        <v>524</v>
      </c>
      <c r="K2" s="26">
        <v>528659</v>
      </c>
      <c r="L2" s="26">
        <v>4001</v>
      </c>
      <c r="M2" s="26" t="s">
        <v>525</v>
      </c>
      <c r="N2" s="31">
        <v>0.18276620370370369</v>
      </c>
      <c r="O2" s="32"/>
      <c r="P2" s="26" t="s">
        <v>526</v>
      </c>
      <c r="Q2" s="26" t="s">
        <v>527</v>
      </c>
      <c r="R2" s="32"/>
      <c r="S2" s="26" t="b">
        <v>0</v>
      </c>
      <c r="T2" s="32"/>
      <c r="U2" s="26" t="b">
        <v>1</v>
      </c>
    </row>
    <row r="3" spans="1:21" ht="16" x14ac:dyDescent="0.2">
      <c r="A3" s="25">
        <v>6982</v>
      </c>
      <c r="B3" s="26" t="s">
        <v>528</v>
      </c>
      <c r="C3" s="28">
        <v>46032</v>
      </c>
      <c r="D3" s="26" t="s">
        <v>529</v>
      </c>
      <c r="E3" s="26">
        <v>24.66</v>
      </c>
      <c r="F3" s="26" t="s">
        <v>8</v>
      </c>
      <c r="G3" s="26">
        <v>24.66</v>
      </c>
      <c r="H3" s="26" t="s">
        <v>8</v>
      </c>
      <c r="I3" s="26" t="s">
        <v>530</v>
      </c>
      <c r="J3" s="26" t="s">
        <v>524</v>
      </c>
      <c r="K3" s="26">
        <v>528659</v>
      </c>
      <c r="L3" s="26">
        <v>17292</v>
      </c>
      <c r="M3" s="26" t="s">
        <v>525</v>
      </c>
      <c r="N3" s="31">
        <v>0.30184027777777778</v>
      </c>
      <c r="O3" s="26" t="s">
        <v>531</v>
      </c>
      <c r="P3" s="26" t="s">
        <v>526</v>
      </c>
      <c r="Q3" s="26" t="s">
        <v>527</v>
      </c>
      <c r="R3" s="32"/>
      <c r="S3" s="26" t="b">
        <v>0</v>
      </c>
      <c r="T3" s="32"/>
      <c r="U3" s="26" t="b">
        <v>1</v>
      </c>
    </row>
    <row r="4" spans="1:21" ht="16" x14ac:dyDescent="0.2">
      <c r="A4" s="25">
        <v>6982</v>
      </c>
      <c r="B4" s="26" t="s">
        <v>532</v>
      </c>
      <c r="C4" s="28">
        <v>46032</v>
      </c>
      <c r="D4" s="26" t="s">
        <v>533</v>
      </c>
      <c r="E4" s="26">
        <v>86.13</v>
      </c>
      <c r="F4" s="26" t="s">
        <v>8</v>
      </c>
      <c r="G4" s="26">
        <v>98.1</v>
      </c>
      <c r="H4" s="26" t="s">
        <v>534</v>
      </c>
      <c r="I4" s="26" t="s">
        <v>535</v>
      </c>
      <c r="J4" s="26" t="s">
        <v>536</v>
      </c>
      <c r="K4" s="26">
        <v>-61923363</v>
      </c>
      <c r="L4" s="26">
        <v>-1</v>
      </c>
      <c r="M4" s="26" t="s">
        <v>525</v>
      </c>
      <c r="N4" s="31">
        <v>0.98870370370370375</v>
      </c>
      <c r="O4" s="32"/>
      <c r="P4" s="26" t="s">
        <v>526</v>
      </c>
      <c r="Q4" s="26" t="s">
        <v>527</v>
      </c>
      <c r="R4" s="32"/>
      <c r="S4" s="26" t="b">
        <v>0</v>
      </c>
      <c r="T4" s="26">
        <v>0</v>
      </c>
      <c r="U4" s="26" t="b">
        <v>0</v>
      </c>
    </row>
    <row r="5" spans="1:21" ht="16" x14ac:dyDescent="0.2">
      <c r="A5" s="25">
        <v>6982</v>
      </c>
      <c r="B5" s="26" t="s">
        <v>528</v>
      </c>
      <c r="C5" s="28">
        <v>46031</v>
      </c>
      <c r="D5" s="26" t="s">
        <v>529</v>
      </c>
      <c r="E5" s="26">
        <v>3.07</v>
      </c>
      <c r="F5" s="26" t="s">
        <v>8</v>
      </c>
      <c r="G5" s="26">
        <v>3.07</v>
      </c>
      <c r="H5" s="26" t="s">
        <v>8</v>
      </c>
      <c r="I5" s="26" t="s">
        <v>530</v>
      </c>
      <c r="J5" s="26" t="s">
        <v>524</v>
      </c>
      <c r="K5" s="26">
        <v>528615</v>
      </c>
      <c r="L5" s="26">
        <v>13924</v>
      </c>
      <c r="M5" s="26" t="s">
        <v>525</v>
      </c>
      <c r="N5" s="31">
        <v>0.20510416666666667</v>
      </c>
      <c r="O5" s="26" t="s">
        <v>531</v>
      </c>
      <c r="P5" s="26" t="s">
        <v>526</v>
      </c>
      <c r="Q5" s="26" t="s">
        <v>527</v>
      </c>
      <c r="R5" s="32"/>
      <c r="S5" s="26" t="b">
        <v>0</v>
      </c>
      <c r="T5" s="32"/>
      <c r="U5" s="26" t="b">
        <v>1</v>
      </c>
    </row>
    <row r="6" spans="1:21" ht="16" x14ac:dyDescent="0.2">
      <c r="A6" s="25">
        <v>6982</v>
      </c>
      <c r="B6" s="26" t="s">
        <v>521</v>
      </c>
      <c r="C6" s="28">
        <v>46030</v>
      </c>
      <c r="D6" s="30" t="s">
        <v>522</v>
      </c>
      <c r="E6" s="26">
        <v>29.99</v>
      </c>
      <c r="F6" s="26" t="s">
        <v>8</v>
      </c>
      <c r="G6" s="26">
        <v>29.99</v>
      </c>
      <c r="H6" s="26" t="s">
        <v>8</v>
      </c>
      <c r="I6" s="26" t="s">
        <v>523</v>
      </c>
      <c r="J6" s="26" t="s">
        <v>524</v>
      </c>
      <c r="K6" s="26">
        <v>528602</v>
      </c>
      <c r="L6" s="26">
        <v>13902</v>
      </c>
      <c r="M6" s="26" t="s">
        <v>525</v>
      </c>
      <c r="N6" s="31">
        <v>0.34207175925925926</v>
      </c>
      <c r="O6" s="26" t="s">
        <v>531</v>
      </c>
      <c r="P6" s="26" t="s">
        <v>526</v>
      </c>
      <c r="Q6" s="26" t="s">
        <v>527</v>
      </c>
      <c r="R6" s="32"/>
      <c r="S6" s="26" t="b">
        <v>0</v>
      </c>
      <c r="T6" s="32"/>
      <c r="U6" s="26" t="b">
        <v>1</v>
      </c>
    </row>
    <row r="7" spans="1:21" ht="16" x14ac:dyDescent="0.2">
      <c r="A7" s="25">
        <v>6982</v>
      </c>
      <c r="B7" s="26" t="s">
        <v>537</v>
      </c>
      <c r="C7" s="28">
        <v>46030</v>
      </c>
      <c r="D7" s="30" t="s">
        <v>538</v>
      </c>
      <c r="E7" s="26">
        <v>0.5</v>
      </c>
      <c r="F7" s="26" t="s">
        <v>8</v>
      </c>
      <c r="G7" s="26">
        <v>0.5</v>
      </c>
      <c r="H7" s="26" t="s">
        <v>8</v>
      </c>
      <c r="I7" s="26" t="s">
        <v>539</v>
      </c>
      <c r="J7" s="26" t="s">
        <v>524</v>
      </c>
      <c r="K7" s="26">
        <v>528602</v>
      </c>
      <c r="L7" s="26">
        <v>75294</v>
      </c>
      <c r="M7" s="26" t="s">
        <v>525</v>
      </c>
      <c r="N7" s="31">
        <v>0.93600694444444443</v>
      </c>
      <c r="O7" s="32"/>
      <c r="P7" s="26" t="s">
        <v>526</v>
      </c>
      <c r="Q7" s="26" t="s">
        <v>527</v>
      </c>
      <c r="R7" s="32"/>
      <c r="S7" s="26" t="b">
        <v>0</v>
      </c>
      <c r="T7" s="32"/>
      <c r="U7" s="26" t="b">
        <v>1</v>
      </c>
    </row>
    <row r="8" spans="1:21" ht="16" x14ac:dyDescent="0.2">
      <c r="A8" s="25">
        <v>6982</v>
      </c>
      <c r="B8" s="26" t="s">
        <v>537</v>
      </c>
      <c r="C8" s="28">
        <v>46030</v>
      </c>
      <c r="D8" s="30" t="s">
        <v>538</v>
      </c>
      <c r="E8" s="26">
        <v>0.5</v>
      </c>
      <c r="F8" s="26" t="s">
        <v>8</v>
      </c>
      <c r="G8" s="26">
        <v>0.5</v>
      </c>
      <c r="H8" s="26" t="s">
        <v>8</v>
      </c>
      <c r="I8" s="26" t="s">
        <v>539</v>
      </c>
      <c r="J8" s="26" t="s">
        <v>524</v>
      </c>
      <c r="K8" s="26">
        <v>528602</v>
      </c>
      <c r="L8" s="26">
        <v>75295</v>
      </c>
      <c r="M8" s="26" t="s">
        <v>525</v>
      </c>
      <c r="N8" s="31">
        <v>0.93596064814814817</v>
      </c>
      <c r="O8" s="32"/>
      <c r="P8" s="26" t="s">
        <v>526</v>
      </c>
      <c r="Q8" s="26" t="s">
        <v>527</v>
      </c>
      <c r="R8" s="32"/>
      <c r="S8" s="26" t="b">
        <v>0</v>
      </c>
      <c r="T8" s="32"/>
      <c r="U8" s="26" t="b">
        <v>1</v>
      </c>
    </row>
    <row r="9" spans="1:21" ht="16" x14ac:dyDescent="0.2">
      <c r="A9" s="25">
        <v>6982</v>
      </c>
      <c r="B9" s="26" t="s">
        <v>528</v>
      </c>
      <c r="C9" s="28">
        <v>46030</v>
      </c>
      <c r="D9" s="26" t="s">
        <v>540</v>
      </c>
      <c r="E9" s="26">
        <v>9.9</v>
      </c>
      <c r="F9" s="26" t="s">
        <v>8</v>
      </c>
      <c r="G9" s="26">
        <v>9.9</v>
      </c>
      <c r="H9" s="26" t="s">
        <v>8</v>
      </c>
      <c r="I9" s="26" t="s">
        <v>530</v>
      </c>
      <c r="J9" s="26" t="s">
        <v>524</v>
      </c>
      <c r="K9" s="26">
        <v>528604</v>
      </c>
      <c r="L9" s="26">
        <v>15555</v>
      </c>
      <c r="M9" s="26" t="s">
        <v>525</v>
      </c>
      <c r="N9" s="31">
        <v>0.34511574074074075</v>
      </c>
      <c r="O9" s="32"/>
      <c r="P9" s="26" t="s">
        <v>526</v>
      </c>
      <c r="Q9" s="26" t="s">
        <v>527</v>
      </c>
      <c r="R9" s="32"/>
      <c r="S9" s="26" t="b">
        <v>0</v>
      </c>
      <c r="T9" s="32"/>
      <c r="U9" s="26" t="b">
        <v>1</v>
      </c>
    </row>
    <row r="10" spans="1:21" ht="16" x14ac:dyDescent="0.2">
      <c r="A10" s="25">
        <v>6982</v>
      </c>
      <c r="B10" s="26" t="s">
        <v>528</v>
      </c>
      <c r="C10" s="28">
        <v>46030</v>
      </c>
      <c r="D10" s="26" t="s">
        <v>540</v>
      </c>
      <c r="E10" s="26">
        <v>22</v>
      </c>
      <c r="F10" s="26" t="s">
        <v>8</v>
      </c>
      <c r="G10" s="26">
        <v>22</v>
      </c>
      <c r="H10" s="26" t="s">
        <v>8</v>
      </c>
      <c r="I10" s="26" t="s">
        <v>530</v>
      </c>
      <c r="J10" s="26" t="s">
        <v>524</v>
      </c>
      <c r="K10" s="26">
        <v>528604</v>
      </c>
      <c r="L10" s="26">
        <v>15616</v>
      </c>
      <c r="M10" s="26" t="s">
        <v>525</v>
      </c>
      <c r="N10" s="31">
        <v>0.56849537037037035</v>
      </c>
      <c r="O10" s="32"/>
      <c r="P10" s="26" t="s">
        <v>526</v>
      </c>
      <c r="Q10" s="26" t="s">
        <v>527</v>
      </c>
      <c r="R10" s="32"/>
      <c r="S10" s="26" t="b">
        <v>0</v>
      </c>
      <c r="T10" s="32"/>
      <c r="U10" s="26" t="b">
        <v>1</v>
      </c>
    </row>
    <row r="11" spans="1:21" ht="16" x14ac:dyDescent="0.2">
      <c r="A11" s="25">
        <v>6982</v>
      </c>
      <c r="B11" s="26" t="s">
        <v>521</v>
      </c>
      <c r="C11" s="28">
        <v>46029</v>
      </c>
      <c r="D11" s="30" t="s">
        <v>522</v>
      </c>
      <c r="E11" s="26">
        <v>14.99</v>
      </c>
      <c r="F11" s="26" t="s">
        <v>8</v>
      </c>
      <c r="G11" s="26">
        <v>14.99</v>
      </c>
      <c r="H11" s="26" t="s">
        <v>8</v>
      </c>
      <c r="I11" s="26" t="s">
        <v>523</v>
      </c>
      <c r="J11" s="26" t="s">
        <v>524</v>
      </c>
      <c r="K11" s="26">
        <v>528539</v>
      </c>
      <c r="L11" s="26">
        <v>1496</v>
      </c>
      <c r="M11" s="26" t="s">
        <v>525</v>
      </c>
      <c r="N11" s="31">
        <v>9.1932870370370359E-2</v>
      </c>
      <c r="O11" s="26" t="s">
        <v>531</v>
      </c>
      <c r="P11" s="26" t="s">
        <v>526</v>
      </c>
      <c r="Q11" s="26" t="s">
        <v>527</v>
      </c>
      <c r="R11" s="32"/>
      <c r="S11" s="26" t="b">
        <v>0</v>
      </c>
      <c r="T11" s="32"/>
      <c r="U11" s="26" t="b">
        <v>1</v>
      </c>
    </row>
    <row r="12" spans="1:21" ht="16" x14ac:dyDescent="0.2">
      <c r="A12" s="25">
        <v>6982</v>
      </c>
      <c r="B12" s="26" t="s">
        <v>541</v>
      </c>
      <c r="C12" s="28">
        <v>46029</v>
      </c>
      <c r="D12" s="26" t="s">
        <v>542</v>
      </c>
      <c r="E12" s="26">
        <v>4.21</v>
      </c>
      <c r="F12" s="26" t="s">
        <v>8</v>
      </c>
      <c r="G12" s="26">
        <v>4.83</v>
      </c>
      <c r="H12" s="26" t="s">
        <v>534</v>
      </c>
      <c r="I12" s="26" t="s">
        <v>535</v>
      </c>
      <c r="J12" s="26" t="s">
        <v>524</v>
      </c>
      <c r="K12" s="26">
        <v>528559</v>
      </c>
      <c r="L12" s="26">
        <v>7966</v>
      </c>
      <c r="M12" s="26" t="s">
        <v>525</v>
      </c>
      <c r="N12" s="31">
        <v>0.47682870370370373</v>
      </c>
      <c r="O12" s="32"/>
      <c r="P12" s="26" t="s">
        <v>526</v>
      </c>
      <c r="Q12" s="26" t="s">
        <v>527</v>
      </c>
      <c r="R12" s="32"/>
      <c r="S12" s="26" t="b">
        <v>0</v>
      </c>
      <c r="T12" s="32"/>
      <c r="U12" s="26" t="b">
        <v>1</v>
      </c>
    </row>
    <row r="13" spans="1:21" ht="16" x14ac:dyDescent="0.2">
      <c r="A13" s="25">
        <v>6982</v>
      </c>
      <c r="B13" s="26" t="s">
        <v>528</v>
      </c>
      <c r="C13" s="28">
        <v>46029</v>
      </c>
      <c r="D13" s="26" t="s">
        <v>543</v>
      </c>
      <c r="E13" s="26">
        <v>154.83000000000001</v>
      </c>
      <c r="F13" s="26" t="s">
        <v>8</v>
      </c>
      <c r="G13" s="26">
        <v>154.83000000000001</v>
      </c>
      <c r="H13" s="26" t="s">
        <v>8</v>
      </c>
      <c r="I13" s="26" t="s">
        <v>544</v>
      </c>
      <c r="J13" s="26" t="s">
        <v>524</v>
      </c>
      <c r="K13" s="26">
        <v>528559</v>
      </c>
      <c r="L13" s="26">
        <v>9194</v>
      </c>
      <c r="M13" s="26" t="s">
        <v>525</v>
      </c>
      <c r="N13" s="31">
        <v>0.45560185185185187</v>
      </c>
      <c r="O13" s="32"/>
      <c r="P13" s="26" t="s">
        <v>526</v>
      </c>
      <c r="Q13" s="26" t="s">
        <v>527</v>
      </c>
      <c r="R13" s="32"/>
      <c r="S13" s="26" t="b">
        <v>0</v>
      </c>
      <c r="T13" s="32"/>
      <c r="U13" s="26" t="b">
        <v>1</v>
      </c>
    </row>
    <row r="14" spans="1:21" ht="16" x14ac:dyDescent="0.2">
      <c r="A14" s="25">
        <v>6982</v>
      </c>
      <c r="B14" s="26" t="s">
        <v>521</v>
      </c>
      <c r="C14" s="28">
        <v>46029</v>
      </c>
      <c r="D14" s="30" t="s">
        <v>522</v>
      </c>
      <c r="E14" s="26">
        <v>10.99</v>
      </c>
      <c r="F14" s="26" t="s">
        <v>8</v>
      </c>
      <c r="G14" s="26">
        <v>10.99</v>
      </c>
      <c r="H14" s="26" t="s">
        <v>8</v>
      </c>
      <c r="I14" s="26" t="s">
        <v>523</v>
      </c>
      <c r="J14" s="26" t="s">
        <v>524</v>
      </c>
      <c r="K14" s="26">
        <v>528575</v>
      </c>
      <c r="L14" s="26">
        <v>7720</v>
      </c>
      <c r="M14" s="26" t="s">
        <v>525</v>
      </c>
      <c r="N14" s="31">
        <v>6.5856481481481469E-3</v>
      </c>
      <c r="O14" s="26" t="s">
        <v>531</v>
      </c>
      <c r="P14" s="26" t="s">
        <v>526</v>
      </c>
      <c r="Q14" s="26" t="s">
        <v>527</v>
      </c>
      <c r="R14" s="32"/>
      <c r="S14" s="26" t="b">
        <v>0</v>
      </c>
      <c r="T14" s="32"/>
      <c r="U14" s="26" t="b">
        <v>1</v>
      </c>
    </row>
    <row r="15" spans="1:21" ht="16" x14ac:dyDescent="0.2">
      <c r="A15" s="25">
        <v>6982</v>
      </c>
      <c r="B15" s="26" t="s">
        <v>545</v>
      </c>
      <c r="C15" s="28">
        <v>46029</v>
      </c>
      <c r="D15" s="26" t="s">
        <v>546</v>
      </c>
      <c r="E15" s="26">
        <v>64.989999999999995</v>
      </c>
      <c r="F15" s="26" t="s">
        <v>8</v>
      </c>
      <c r="G15" s="26">
        <v>64.989999999999995</v>
      </c>
      <c r="H15" s="26" t="s">
        <v>8</v>
      </c>
      <c r="I15" s="26" t="s">
        <v>547</v>
      </c>
      <c r="J15" s="26" t="s">
        <v>524</v>
      </c>
      <c r="K15" s="26">
        <v>528643</v>
      </c>
      <c r="L15" s="26">
        <v>8805</v>
      </c>
      <c r="M15" s="26" t="s">
        <v>525</v>
      </c>
      <c r="N15" s="31">
        <v>0.48199074074074072</v>
      </c>
      <c r="O15" s="32"/>
      <c r="P15" s="26" t="s">
        <v>526</v>
      </c>
      <c r="Q15" s="26" t="s">
        <v>527</v>
      </c>
      <c r="R15" s="32"/>
      <c r="S15" s="26" t="b">
        <v>0</v>
      </c>
      <c r="T15" s="32"/>
      <c r="U15" s="26" t="b">
        <v>1</v>
      </c>
    </row>
    <row r="16" spans="1:21" ht="16" x14ac:dyDescent="0.2">
      <c r="A16" s="25">
        <v>6982</v>
      </c>
      <c r="B16" s="26" t="s">
        <v>548</v>
      </c>
      <c r="C16" s="28">
        <v>46029</v>
      </c>
      <c r="D16" s="26" t="s">
        <v>549</v>
      </c>
      <c r="E16" s="26">
        <v>0</v>
      </c>
      <c r="F16" s="26" t="s">
        <v>8</v>
      </c>
      <c r="G16" s="26">
        <v>0</v>
      </c>
      <c r="H16" s="26" t="s">
        <v>534</v>
      </c>
      <c r="I16" s="26" t="s">
        <v>535</v>
      </c>
      <c r="J16" s="26" t="s">
        <v>536</v>
      </c>
      <c r="K16" s="26">
        <v>-41219667</v>
      </c>
      <c r="L16" s="26">
        <v>-1</v>
      </c>
      <c r="M16" s="26" t="s">
        <v>525</v>
      </c>
      <c r="N16" s="31">
        <v>0.4767824074074074</v>
      </c>
      <c r="O16" s="32"/>
      <c r="P16" s="26" t="s">
        <v>526</v>
      </c>
      <c r="Q16" s="26" t="s">
        <v>527</v>
      </c>
      <c r="R16" s="32"/>
      <c r="S16" s="26" t="b">
        <v>0</v>
      </c>
      <c r="T16" s="26">
        <v>0</v>
      </c>
      <c r="U16" s="26" t="b">
        <v>0</v>
      </c>
    </row>
    <row r="17" spans="1:21" ht="16" x14ac:dyDescent="0.2">
      <c r="A17" s="25">
        <v>6982</v>
      </c>
      <c r="B17" s="26" t="s">
        <v>528</v>
      </c>
      <c r="C17" s="28">
        <v>46028</v>
      </c>
      <c r="D17" s="26" t="s">
        <v>529</v>
      </c>
      <c r="E17" s="26">
        <v>22.89</v>
      </c>
      <c r="F17" s="26" t="s">
        <v>8</v>
      </c>
      <c r="G17" s="26">
        <v>22.89</v>
      </c>
      <c r="H17" s="26" t="s">
        <v>8</v>
      </c>
      <c r="I17" s="26" t="s">
        <v>530</v>
      </c>
      <c r="J17" s="26" t="s">
        <v>524</v>
      </c>
      <c r="K17" s="26">
        <v>528498</v>
      </c>
      <c r="L17" s="26">
        <v>17644</v>
      </c>
      <c r="M17" s="26" t="s">
        <v>525</v>
      </c>
      <c r="N17" s="31">
        <v>0.28042824074074074</v>
      </c>
      <c r="O17" s="26" t="s">
        <v>531</v>
      </c>
      <c r="P17" s="26" t="s">
        <v>526</v>
      </c>
      <c r="Q17" s="26" t="s">
        <v>527</v>
      </c>
      <c r="R17" s="32"/>
      <c r="S17" s="26" t="b">
        <v>0</v>
      </c>
      <c r="T17" s="32"/>
      <c r="U17" s="26" t="b">
        <v>1</v>
      </c>
    </row>
    <row r="18" spans="1:21" ht="16" x14ac:dyDescent="0.2">
      <c r="A18" s="25">
        <v>6982</v>
      </c>
      <c r="B18" s="26" t="s">
        <v>550</v>
      </c>
      <c r="C18" s="28">
        <v>46028</v>
      </c>
      <c r="D18" s="26" t="s">
        <v>551</v>
      </c>
      <c r="E18" s="26">
        <v>174.98</v>
      </c>
      <c r="F18" s="26" t="s">
        <v>8</v>
      </c>
      <c r="G18" s="26">
        <v>199.99</v>
      </c>
      <c r="H18" s="26" t="s">
        <v>534</v>
      </c>
      <c r="I18" s="26" t="s">
        <v>535</v>
      </c>
      <c r="J18" s="26" t="s">
        <v>524</v>
      </c>
      <c r="K18" s="26">
        <v>528522</v>
      </c>
      <c r="L18" s="26">
        <v>83943</v>
      </c>
      <c r="M18" s="26" t="s">
        <v>525</v>
      </c>
      <c r="N18" s="31">
        <v>0.65598379629629633</v>
      </c>
      <c r="O18" s="32"/>
      <c r="P18" s="26" t="s">
        <v>526</v>
      </c>
      <c r="Q18" s="26" t="s">
        <v>527</v>
      </c>
      <c r="R18" s="32"/>
      <c r="S18" s="26" t="b">
        <v>0</v>
      </c>
      <c r="T18" s="32"/>
      <c r="U18" s="26" t="b">
        <v>1</v>
      </c>
    </row>
    <row r="19" spans="1:21" ht="16" x14ac:dyDescent="0.2">
      <c r="A19" s="25">
        <v>6982</v>
      </c>
      <c r="B19" s="26" t="s">
        <v>528</v>
      </c>
      <c r="C19" s="28">
        <v>46027</v>
      </c>
      <c r="D19" s="26" t="s">
        <v>552</v>
      </c>
      <c r="E19" s="26">
        <v>19.989999999999998</v>
      </c>
      <c r="F19" s="26" t="s">
        <v>8</v>
      </c>
      <c r="G19" s="26">
        <v>19.989999999999998</v>
      </c>
      <c r="H19" s="26" t="s">
        <v>8</v>
      </c>
      <c r="I19" s="26" t="s">
        <v>553</v>
      </c>
      <c r="J19" s="26" t="s">
        <v>524</v>
      </c>
      <c r="K19" s="26">
        <v>528494</v>
      </c>
      <c r="L19" s="26">
        <v>30575</v>
      </c>
      <c r="M19" s="26" t="s">
        <v>554</v>
      </c>
      <c r="N19" s="31">
        <v>0.67476851851851849</v>
      </c>
      <c r="O19" s="26" t="s">
        <v>531</v>
      </c>
      <c r="P19" s="26" t="s">
        <v>526</v>
      </c>
      <c r="Q19" s="26" t="s">
        <v>527</v>
      </c>
      <c r="R19" s="32"/>
      <c r="S19" s="26" t="b">
        <v>0</v>
      </c>
      <c r="T19" s="32"/>
      <c r="U19" s="26" t="b">
        <v>1</v>
      </c>
    </row>
    <row r="20" spans="1:21" ht="16" x14ac:dyDescent="0.2">
      <c r="A20" s="25">
        <v>6982</v>
      </c>
      <c r="B20" s="26" t="s">
        <v>550</v>
      </c>
      <c r="C20" s="28">
        <v>46027</v>
      </c>
      <c r="D20" s="26" t="s">
        <v>555</v>
      </c>
      <c r="E20" s="26">
        <v>38.49</v>
      </c>
      <c r="F20" s="26" t="s">
        <v>8</v>
      </c>
      <c r="G20" s="26">
        <v>44</v>
      </c>
      <c r="H20" s="26" t="s">
        <v>534</v>
      </c>
      <c r="I20" s="26" t="s">
        <v>535</v>
      </c>
      <c r="J20" s="26" t="s">
        <v>524</v>
      </c>
      <c r="K20" s="26">
        <v>528498</v>
      </c>
      <c r="L20" s="26">
        <v>22508</v>
      </c>
      <c r="M20" s="26" t="s">
        <v>525</v>
      </c>
      <c r="N20" s="31">
        <v>4.6469907407407411E-2</v>
      </c>
      <c r="O20" s="32"/>
      <c r="P20" s="26" t="s">
        <v>526</v>
      </c>
      <c r="Q20" s="26" t="s">
        <v>527</v>
      </c>
      <c r="R20" s="32"/>
      <c r="S20" s="26" t="b">
        <v>0</v>
      </c>
      <c r="T20" s="32"/>
      <c r="U20" s="26" t="b">
        <v>1</v>
      </c>
    </row>
    <row r="21" spans="1:21" ht="16" x14ac:dyDescent="0.2">
      <c r="A21" s="25">
        <v>6982</v>
      </c>
      <c r="B21" s="26" t="s">
        <v>521</v>
      </c>
      <c r="C21" s="28">
        <v>46026</v>
      </c>
      <c r="D21" s="26" t="s">
        <v>556</v>
      </c>
      <c r="E21" s="26">
        <v>22</v>
      </c>
      <c r="F21" s="26" t="s">
        <v>8</v>
      </c>
      <c r="G21" s="26">
        <v>22</v>
      </c>
      <c r="H21" s="26" t="s">
        <v>8</v>
      </c>
      <c r="I21" s="26" t="s">
        <v>523</v>
      </c>
      <c r="J21" s="26" t="s">
        <v>524</v>
      </c>
      <c r="K21" s="26">
        <v>528425</v>
      </c>
      <c r="L21" s="26">
        <v>6183</v>
      </c>
      <c r="M21" s="26" t="s">
        <v>525</v>
      </c>
      <c r="N21" s="31">
        <v>0.40959490740740739</v>
      </c>
      <c r="O21" s="32"/>
      <c r="P21" s="26" t="s">
        <v>526</v>
      </c>
      <c r="Q21" s="26" t="s">
        <v>527</v>
      </c>
      <c r="R21" s="32"/>
      <c r="S21" s="26" t="b">
        <v>0</v>
      </c>
      <c r="T21" s="32"/>
      <c r="U21" s="26" t="b">
        <v>1</v>
      </c>
    </row>
    <row r="22" spans="1:21" ht="16" x14ac:dyDescent="0.2">
      <c r="A22" s="25">
        <v>6982</v>
      </c>
      <c r="B22" s="26" t="s">
        <v>550</v>
      </c>
      <c r="C22" s="28">
        <v>46026</v>
      </c>
      <c r="D22" s="26" t="s">
        <v>557</v>
      </c>
      <c r="E22" s="26">
        <v>108.9</v>
      </c>
      <c r="F22" s="26" t="s">
        <v>8</v>
      </c>
      <c r="G22" s="26">
        <v>108.9</v>
      </c>
      <c r="H22" s="26" t="s">
        <v>8</v>
      </c>
      <c r="I22" s="26" t="s">
        <v>535</v>
      </c>
      <c r="J22" s="26" t="s">
        <v>524</v>
      </c>
      <c r="K22" s="26">
        <v>528440</v>
      </c>
      <c r="L22" s="26">
        <v>75685</v>
      </c>
      <c r="M22" s="26" t="s">
        <v>525</v>
      </c>
      <c r="N22" s="31">
        <v>0.66599537037037038</v>
      </c>
      <c r="O22" s="32"/>
      <c r="P22" s="26" t="s">
        <v>526</v>
      </c>
      <c r="Q22" s="26" t="s">
        <v>527</v>
      </c>
      <c r="R22" s="32"/>
      <c r="S22" s="26" t="b">
        <v>0</v>
      </c>
      <c r="T22" s="32"/>
      <c r="U22" s="26" t="b">
        <v>1</v>
      </c>
    </row>
    <row r="23" spans="1:21" ht="16" x14ac:dyDescent="0.2">
      <c r="A23" s="25">
        <v>6982</v>
      </c>
      <c r="B23" s="26" t="s">
        <v>550</v>
      </c>
      <c r="C23" s="28">
        <v>46025</v>
      </c>
      <c r="D23" s="26" t="s">
        <v>558</v>
      </c>
      <c r="E23" s="26">
        <v>23.18</v>
      </c>
      <c r="F23" s="26" t="s">
        <v>8</v>
      </c>
      <c r="G23" s="26">
        <v>26.62</v>
      </c>
      <c r="H23" s="26" t="s">
        <v>534</v>
      </c>
      <c r="I23" s="26" t="s">
        <v>535</v>
      </c>
      <c r="J23" s="26" t="s">
        <v>524</v>
      </c>
      <c r="K23" s="26">
        <v>528405</v>
      </c>
      <c r="L23" s="26">
        <v>63881</v>
      </c>
      <c r="M23" s="26" t="s">
        <v>525</v>
      </c>
      <c r="N23" s="31">
        <v>0.68542824074074071</v>
      </c>
      <c r="O23" s="32"/>
      <c r="P23" s="26" t="s">
        <v>526</v>
      </c>
      <c r="Q23" s="26" t="s">
        <v>527</v>
      </c>
      <c r="R23" s="32"/>
      <c r="S23" s="26" t="b">
        <v>0</v>
      </c>
      <c r="T23" s="32"/>
      <c r="U23" s="26" t="b">
        <v>1</v>
      </c>
    </row>
    <row r="24" spans="1:21" ht="16" x14ac:dyDescent="0.2">
      <c r="A24" s="25">
        <v>6982</v>
      </c>
      <c r="B24" s="26" t="s">
        <v>528</v>
      </c>
      <c r="C24" s="28">
        <v>46024</v>
      </c>
      <c r="D24" s="26" t="s">
        <v>529</v>
      </c>
      <c r="E24" s="26">
        <v>4.99</v>
      </c>
      <c r="F24" s="26" t="s">
        <v>8</v>
      </c>
      <c r="G24" s="26">
        <v>4.99</v>
      </c>
      <c r="H24" s="26" t="s">
        <v>8</v>
      </c>
      <c r="I24" s="26" t="s">
        <v>530</v>
      </c>
      <c r="J24" s="26" t="s">
        <v>524</v>
      </c>
      <c r="K24" s="26">
        <v>528342</v>
      </c>
      <c r="L24" s="26">
        <v>16280</v>
      </c>
      <c r="M24" s="26" t="s">
        <v>525</v>
      </c>
      <c r="N24" s="31">
        <v>0.26011574074074073</v>
      </c>
      <c r="O24" s="26" t="s">
        <v>531</v>
      </c>
      <c r="P24" s="26" t="s">
        <v>526</v>
      </c>
      <c r="Q24" s="26" t="s">
        <v>527</v>
      </c>
      <c r="R24" s="32"/>
      <c r="S24" s="26" t="b">
        <v>0</v>
      </c>
      <c r="T24" s="32"/>
      <c r="U24" s="26" t="b">
        <v>1</v>
      </c>
    </row>
    <row r="25" spans="1:21" ht="16" x14ac:dyDescent="0.2">
      <c r="A25" s="25">
        <v>6982</v>
      </c>
      <c r="B25" s="26" t="s">
        <v>521</v>
      </c>
      <c r="C25" s="28">
        <v>46024</v>
      </c>
      <c r="D25" s="30" t="s">
        <v>522</v>
      </c>
      <c r="E25" s="26">
        <v>12.49</v>
      </c>
      <c r="F25" s="26" t="s">
        <v>8</v>
      </c>
      <c r="G25" s="26">
        <v>12.49</v>
      </c>
      <c r="H25" s="26" t="s">
        <v>8</v>
      </c>
      <c r="I25" s="26" t="s">
        <v>523</v>
      </c>
      <c r="J25" s="26" t="s">
        <v>524</v>
      </c>
      <c r="K25" s="26">
        <v>528365</v>
      </c>
      <c r="L25" s="26">
        <v>22653</v>
      </c>
      <c r="M25" s="26" t="s">
        <v>525</v>
      </c>
      <c r="N25" s="31">
        <v>0.50817129629629632</v>
      </c>
      <c r="O25" s="32"/>
      <c r="P25" s="26" t="s">
        <v>526</v>
      </c>
      <c r="Q25" s="26" t="s">
        <v>527</v>
      </c>
      <c r="R25" s="32"/>
      <c r="S25" s="26" t="b">
        <v>0</v>
      </c>
      <c r="T25" s="32"/>
      <c r="U25" s="26" t="b">
        <v>1</v>
      </c>
    </row>
    <row r="26" spans="1:21" ht="16" x14ac:dyDescent="0.2">
      <c r="A26" s="25">
        <v>6982</v>
      </c>
      <c r="B26" s="26" t="s">
        <v>521</v>
      </c>
      <c r="C26" s="28">
        <v>46022</v>
      </c>
      <c r="D26" s="30" t="s">
        <v>522</v>
      </c>
      <c r="E26" s="26">
        <v>14.99</v>
      </c>
      <c r="F26" s="26" t="s">
        <v>8</v>
      </c>
      <c r="G26" s="26">
        <v>14.99</v>
      </c>
      <c r="H26" s="26" t="s">
        <v>8</v>
      </c>
      <c r="I26" s="26" t="s">
        <v>523</v>
      </c>
      <c r="J26" s="26" t="s">
        <v>524</v>
      </c>
      <c r="K26" s="26">
        <v>528263</v>
      </c>
      <c r="L26" s="26">
        <v>2263</v>
      </c>
      <c r="M26" s="26" t="s">
        <v>525</v>
      </c>
      <c r="N26" s="31">
        <v>9.1747685185185182E-2</v>
      </c>
      <c r="O26" s="26" t="s">
        <v>531</v>
      </c>
      <c r="P26" s="26" t="s">
        <v>526</v>
      </c>
      <c r="Q26" s="26" t="s">
        <v>527</v>
      </c>
      <c r="R26" s="32"/>
      <c r="S26" s="26" t="b">
        <v>0</v>
      </c>
      <c r="T26" s="32"/>
      <c r="U26" s="26" t="b">
        <v>1</v>
      </c>
    </row>
    <row r="27" spans="1:21" ht="16" x14ac:dyDescent="0.2">
      <c r="A27" s="25">
        <v>6982</v>
      </c>
      <c r="B27" s="26" t="s">
        <v>521</v>
      </c>
      <c r="C27" s="28">
        <v>46022</v>
      </c>
      <c r="D27" s="30" t="s">
        <v>522</v>
      </c>
      <c r="E27" s="26">
        <v>9.99</v>
      </c>
      <c r="F27" s="26" t="s">
        <v>8</v>
      </c>
      <c r="G27" s="26">
        <v>9.99</v>
      </c>
      <c r="H27" s="26" t="s">
        <v>8</v>
      </c>
      <c r="I27" s="26" t="s">
        <v>523</v>
      </c>
      <c r="J27" s="26" t="s">
        <v>524</v>
      </c>
      <c r="K27" s="26">
        <v>528263</v>
      </c>
      <c r="L27" s="26">
        <v>2365</v>
      </c>
      <c r="M27" s="26" t="s">
        <v>525</v>
      </c>
      <c r="N27" s="31">
        <v>9.644675925925926E-2</v>
      </c>
      <c r="O27" s="32"/>
      <c r="P27" s="26" t="s">
        <v>526</v>
      </c>
      <c r="Q27" s="26" t="s">
        <v>527</v>
      </c>
      <c r="R27" s="32"/>
      <c r="S27" s="26" t="b">
        <v>0</v>
      </c>
      <c r="T27" s="32"/>
      <c r="U27" s="26" t="b">
        <v>1</v>
      </c>
    </row>
    <row r="28" spans="1:21" ht="16" x14ac:dyDescent="0.2">
      <c r="A28" s="25">
        <v>6982</v>
      </c>
      <c r="B28" s="26" t="s">
        <v>550</v>
      </c>
      <c r="C28" s="28">
        <v>46022</v>
      </c>
      <c r="D28" s="26" t="s">
        <v>559</v>
      </c>
      <c r="E28" s="26">
        <v>52.11</v>
      </c>
      <c r="F28" s="26" t="s">
        <v>8</v>
      </c>
      <c r="G28" s="26">
        <v>60</v>
      </c>
      <c r="H28" s="26" t="s">
        <v>534</v>
      </c>
      <c r="I28" s="26" t="s">
        <v>535</v>
      </c>
      <c r="J28" s="26" t="s">
        <v>524</v>
      </c>
      <c r="K28" s="26">
        <v>528273</v>
      </c>
      <c r="L28" s="26">
        <v>8191</v>
      </c>
      <c r="M28" s="26" t="s">
        <v>525</v>
      </c>
      <c r="N28" s="31">
        <v>0.47593749999999996</v>
      </c>
      <c r="O28" s="32"/>
      <c r="P28" s="26" t="s">
        <v>526</v>
      </c>
      <c r="Q28" s="26" t="s">
        <v>527</v>
      </c>
      <c r="R28" s="32"/>
      <c r="S28" s="26" t="b">
        <v>0</v>
      </c>
      <c r="T28" s="32"/>
      <c r="U28" s="26" t="b">
        <v>1</v>
      </c>
    </row>
    <row r="29" spans="1:21" ht="16" x14ac:dyDescent="0.2">
      <c r="A29" s="25">
        <v>6982</v>
      </c>
      <c r="B29" s="26" t="s">
        <v>560</v>
      </c>
      <c r="C29" s="28">
        <v>46022</v>
      </c>
      <c r="D29" s="26" t="s">
        <v>561</v>
      </c>
      <c r="E29" s="26">
        <v>4.99</v>
      </c>
      <c r="F29" s="26" t="s">
        <v>8</v>
      </c>
      <c r="G29" s="26">
        <v>4.99</v>
      </c>
      <c r="H29" s="26" t="s">
        <v>8</v>
      </c>
      <c r="I29" s="26" t="s">
        <v>547</v>
      </c>
      <c r="J29" s="26" t="s">
        <v>524</v>
      </c>
      <c r="K29" s="26">
        <v>528294</v>
      </c>
      <c r="L29" s="26">
        <v>70459</v>
      </c>
      <c r="M29" s="26" t="s">
        <v>525</v>
      </c>
      <c r="N29" s="31">
        <v>0.88533564814814814</v>
      </c>
      <c r="O29" s="32"/>
      <c r="P29" s="26" t="s">
        <v>526</v>
      </c>
      <c r="Q29" s="26" t="s">
        <v>527</v>
      </c>
      <c r="R29" s="32"/>
      <c r="S29" s="26" t="b">
        <v>0</v>
      </c>
      <c r="T29" s="32"/>
      <c r="U29" s="26" t="b">
        <v>1</v>
      </c>
    </row>
    <row r="30" spans="1:21" ht="16" x14ac:dyDescent="0.2">
      <c r="A30" s="25">
        <v>6982</v>
      </c>
      <c r="B30" s="26" t="s">
        <v>528</v>
      </c>
      <c r="C30" s="28">
        <v>46022</v>
      </c>
      <c r="D30" s="30" t="s">
        <v>562</v>
      </c>
      <c r="E30" s="26">
        <v>18.96</v>
      </c>
      <c r="F30" s="26" t="s">
        <v>8</v>
      </c>
      <c r="G30" s="26">
        <v>21.78</v>
      </c>
      <c r="H30" s="26" t="s">
        <v>534</v>
      </c>
      <c r="I30" s="26" t="s">
        <v>535</v>
      </c>
      <c r="J30" s="26" t="s">
        <v>524</v>
      </c>
      <c r="K30" s="26">
        <v>528304</v>
      </c>
      <c r="L30" s="26">
        <v>25142</v>
      </c>
      <c r="M30" s="26" t="s">
        <v>525</v>
      </c>
      <c r="N30" s="31">
        <v>0.2502314814814815</v>
      </c>
      <c r="O30" s="32"/>
      <c r="P30" s="26" t="s">
        <v>526</v>
      </c>
      <c r="Q30" s="26" t="s">
        <v>527</v>
      </c>
      <c r="R30" s="32"/>
      <c r="S30" s="26" t="b">
        <v>0</v>
      </c>
      <c r="T30" s="32"/>
      <c r="U30" s="26" t="b">
        <v>1</v>
      </c>
    </row>
    <row r="31" spans="1:21" ht="16" x14ac:dyDescent="0.2">
      <c r="A31" s="25">
        <v>6982</v>
      </c>
      <c r="B31" s="26" t="s">
        <v>563</v>
      </c>
      <c r="C31" s="28">
        <v>46022</v>
      </c>
      <c r="D31" s="26" t="s">
        <v>564</v>
      </c>
      <c r="E31" s="26">
        <v>11.99</v>
      </c>
      <c r="F31" s="26" t="s">
        <v>8</v>
      </c>
      <c r="G31" s="26">
        <v>11.99</v>
      </c>
      <c r="H31" s="26" t="s">
        <v>8</v>
      </c>
      <c r="I31" s="26" t="s">
        <v>565</v>
      </c>
      <c r="J31" s="26" t="s">
        <v>524</v>
      </c>
      <c r="K31" s="26">
        <v>528326</v>
      </c>
      <c r="L31" s="26">
        <v>3862</v>
      </c>
      <c r="M31" s="26" t="s">
        <v>525</v>
      </c>
      <c r="N31" s="31">
        <v>0.8065972222222223</v>
      </c>
      <c r="O31" s="32"/>
      <c r="P31" s="26" t="s">
        <v>526</v>
      </c>
      <c r="Q31" s="26" t="s">
        <v>527</v>
      </c>
      <c r="R31" s="32"/>
      <c r="S31" s="26" t="b">
        <v>0</v>
      </c>
      <c r="T31" s="32"/>
      <c r="U31" s="26" t="b">
        <v>1</v>
      </c>
    </row>
    <row r="32" spans="1:21" ht="16" x14ac:dyDescent="0.2">
      <c r="A32" s="25">
        <v>6982</v>
      </c>
      <c r="B32" s="26" t="s">
        <v>550</v>
      </c>
      <c r="C32" s="28">
        <v>46021</v>
      </c>
      <c r="D32" s="26" t="s">
        <v>566</v>
      </c>
      <c r="E32" s="26">
        <v>33.58</v>
      </c>
      <c r="F32" s="26" t="s">
        <v>8</v>
      </c>
      <c r="G32" s="26">
        <v>38.700000000000003</v>
      </c>
      <c r="H32" s="26" t="s">
        <v>534</v>
      </c>
      <c r="I32" s="26" t="s">
        <v>535</v>
      </c>
      <c r="J32" s="26" t="s">
        <v>524</v>
      </c>
      <c r="K32" s="26">
        <v>528235</v>
      </c>
      <c r="L32" s="26">
        <v>10436</v>
      </c>
      <c r="M32" s="26" t="s">
        <v>525</v>
      </c>
      <c r="N32" s="31">
        <v>0.54266203703703708</v>
      </c>
      <c r="O32" s="32"/>
      <c r="P32" s="26" t="s">
        <v>526</v>
      </c>
      <c r="Q32" s="26" t="s">
        <v>527</v>
      </c>
      <c r="R32" s="32"/>
      <c r="S32" s="26" t="b">
        <v>0</v>
      </c>
      <c r="T32" s="32"/>
      <c r="U32" s="26" t="b">
        <v>1</v>
      </c>
    </row>
    <row r="33" spans="1:21" ht="16" x14ac:dyDescent="0.2">
      <c r="A33" s="25">
        <v>6982</v>
      </c>
      <c r="B33" s="26" t="s">
        <v>550</v>
      </c>
      <c r="C33" s="28">
        <v>46021</v>
      </c>
      <c r="D33" s="26" t="s">
        <v>567</v>
      </c>
      <c r="E33" s="26">
        <v>13.02</v>
      </c>
      <c r="F33" s="26" t="s">
        <v>8</v>
      </c>
      <c r="G33" s="26">
        <v>15</v>
      </c>
      <c r="H33" s="26" t="s">
        <v>534</v>
      </c>
      <c r="I33" s="26" t="s">
        <v>535</v>
      </c>
      <c r="J33" s="26" t="s">
        <v>524</v>
      </c>
      <c r="K33" s="26">
        <v>528250</v>
      </c>
      <c r="L33" s="26">
        <v>54736</v>
      </c>
      <c r="M33" s="26" t="s">
        <v>525</v>
      </c>
      <c r="N33" s="31">
        <v>0.9523611111111111</v>
      </c>
      <c r="O33" s="32"/>
      <c r="P33" s="26" t="s">
        <v>526</v>
      </c>
      <c r="Q33" s="26" t="s">
        <v>527</v>
      </c>
      <c r="R33" s="32"/>
      <c r="S33" s="26" t="b">
        <v>0</v>
      </c>
      <c r="T33" s="32"/>
      <c r="U33" s="26" t="b">
        <v>1</v>
      </c>
    </row>
    <row r="34" spans="1:21" ht="16" x14ac:dyDescent="0.2">
      <c r="A34" s="32"/>
      <c r="B34" s="32"/>
      <c r="C34" s="28">
        <v>46021</v>
      </c>
      <c r="D34" s="26" t="s">
        <v>568</v>
      </c>
      <c r="E34" s="26">
        <v>-1888.82</v>
      </c>
      <c r="F34" s="26" t="s">
        <v>8</v>
      </c>
      <c r="G34" s="26">
        <v>-1888.82</v>
      </c>
      <c r="H34" s="26" t="s">
        <v>8</v>
      </c>
      <c r="I34" s="32"/>
      <c r="J34" s="26" t="s">
        <v>569</v>
      </c>
      <c r="K34" s="26">
        <v>528201</v>
      </c>
      <c r="L34" s="26">
        <v>95773</v>
      </c>
      <c r="M34" s="26" t="s">
        <v>554</v>
      </c>
      <c r="N34" s="32"/>
      <c r="O34" s="32"/>
      <c r="P34" s="32"/>
      <c r="Q34" s="32"/>
      <c r="R34" s="26" t="s">
        <v>570</v>
      </c>
      <c r="S34" s="26" t="b">
        <v>0</v>
      </c>
      <c r="T34" s="26">
        <v>0</v>
      </c>
      <c r="U34" s="26" t="b">
        <v>0</v>
      </c>
    </row>
    <row r="35" spans="1:21" ht="16" x14ac:dyDescent="0.2">
      <c r="A35" s="25">
        <v>6982</v>
      </c>
      <c r="B35" s="26" t="s">
        <v>550</v>
      </c>
      <c r="C35" s="28">
        <v>46019</v>
      </c>
      <c r="D35" s="26" t="s">
        <v>571</v>
      </c>
      <c r="E35" s="26">
        <v>8.67</v>
      </c>
      <c r="F35" s="26" t="s">
        <v>8</v>
      </c>
      <c r="G35" s="26">
        <v>10</v>
      </c>
      <c r="H35" s="26" t="s">
        <v>534</v>
      </c>
      <c r="I35" s="26" t="s">
        <v>547</v>
      </c>
      <c r="J35" s="26" t="s">
        <v>524</v>
      </c>
      <c r="K35" s="26">
        <v>528155</v>
      </c>
      <c r="L35" s="26">
        <v>10743</v>
      </c>
      <c r="M35" s="26" t="s">
        <v>525</v>
      </c>
      <c r="N35" s="31">
        <v>0.4155787037037037</v>
      </c>
      <c r="O35" s="32"/>
      <c r="P35" s="26" t="s">
        <v>526</v>
      </c>
      <c r="Q35" s="26" t="s">
        <v>527</v>
      </c>
      <c r="R35" s="32"/>
      <c r="S35" s="26" t="b">
        <v>0</v>
      </c>
      <c r="T35" s="32"/>
      <c r="U35" s="26" t="b">
        <v>1</v>
      </c>
    </row>
    <row r="36" spans="1:21" ht="16" x14ac:dyDescent="0.2">
      <c r="A36" s="25">
        <v>6982</v>
      </c>
      <c r="B36" s="26" t="s">
        <v>550</v>
      </c>
      <c r="C36" s="28">
        <v>46019</v>
      </c>
      <c r="D36" s="26" t="s">
        <v>572</v>
      </c>
      <c r="E36" s="26">
        <v>7</v>
      </c>
      <c r="F36" s="26" t="s">
        <v>8</v>
      </c>
      <c r="G36" s="26">
        <v>7</v>
      </c>
      <c r="H36" s="26" t="s">
        <v>8</v>
      </c>
      <c r="I36" s="26" t="s">
        <v>573</v>
      </c>
      <c r="J36" s="26" t="s">
        <v>524</v>
      </c>
      <c r="K36" s="26">
        <v>528163</v>
      </c>
      <c r="L36" s="26">
        <v>85359</v>
      </c>
      <c r="M36" s="26" t="s">
        <v>525</v>
      </c>
      <c r="N36" s="31">
        <v>0.87130787037037039</v>
      </c>
      <c r="O36" s="32"/>
      <c r="P36" s="26" t="s">
        <v>526</v>
      </c>
      <c r="Q36" s="26" t="s">
        <v>527</v>
      </c>
      <c r="R36" s="32"/>
      <c r="S36" s="26" t="b">
        <v>0</v>
      </c>
      <c r="T36" s="32"/>
      <c r="U36" s="26" t="b">
        <v>1</v>
      </c>
    </row>
    <row r="37" spans="1:21" ht="16" x14ac:dyDescent="0.2">
      <c r="A37" s="25">
        <v>6982</v>
      </c>
      <c r="B37" s="26" t="s">
        <v>550</v>
      </c>
      <c r="C37" s="28">
        <v>46018</v>
      </c>
      <c r="D37" s="26" t="s">
        <v>574</v>
      </c>
      <c r="E37" s="26">
        <v>17.350000000000001</v>
      </c>
      <c r="F37" s="26" t="s">
        <v>8</v>
      </c>
      <c r="G37" s="26">
        <v>20</v>
      </c>
      <c r="H37" s="26" t="s">
        <v>534</v>
      </c>
      <c r="I37" s="26" t="s">
        <v>575</v>
      </c>
      <c r="J37" s="26" t="s">
        <v>524</v>
      </c>
      <c r="K37" s="26">
        <v>528123</v>
      </c>
      <c r="L37" s="26">
        <v>8794</v>
      </c>
      <c r="M37" s="26" t="s">
        <v>525</v>
      </c>
      <c r="N37" s="31">
        <v>0.39672453703703708</v>
      </c>
      <c r="O37" s="32"/>
      <c r="P37" s="26" t="s">
        <v>526</v>
      </c>
      <c r="Q37" s="26" t="s">
        <v>527</v>
      </c>
      <c r="R37" s="32"/>
      <c r="S37" s="26" t="b">
        <v>0</v>
      </c>
      <c r="T37" s="32"/>
      <c r="U37" s="26" t="b">
        <v>1</v>
      </c>
    </row>
    <row r="38" spans="1:21" ht="16" x14ac:dyDescent="0.2">
      <c r="A38" s="25">
        <v>6982</v>
      </c>
      <c r="B38" s="26" t="s">
        <v>550</v>
      </c>
      <c r="C38" s="28">
        <v>46018</v>
      </c>
      <c r="D38" s="26" t="s">
        <v>576</v>
      </c>
      <c r="E38" s="26">
        <v>91.77</v>
      </c>
      <c r="F38" s="26" t="s">
        <v>8</v>
      </c>
      <c r="G38" s="26">
        <v>91.77</v>
      </c>
      <c r="H38" s="26" t="s">
        <v>8</v>
      </c>
      <c r="I38" s="26" t="s">
        <v>577</v>
      </c>
      <c r="J38" s="26" t="s">
        <v>524</v>
      </c>
      <c r="K38" s="26">
        <v>528133</v>
      </c>
      <c r="L38" s="26">
        <v>66690</v>
      </c>
      <c r="M38" s="26" t="s">
        <v>525</v>
      </c>
      <c r="N38" s="31">
        <v>0.50443287037037032</v>
      </c>
      <c r="O38" s="32"/>
      <c r="P38" s="26" t="s">
        <v>526</v>
      </c>
      <c r="Q38" s="26" t="s">
        <v>527</v>
      </c>
      <c r="R38" s="32"/>
      <c r="S38" s="26" t="b">
        <v>0</v>
      </c>
      <c r="T38" s="32"/>
      <c r="U38" s="26" t="b">
        <v>1</v>
      </c>
    </row>
    <row r="39" spans="1:21" ht="16" x14ac:dyDescent="0.2">
      <c r="A39" s="25">
        <v>6982</v>
      </c>
      <c r="B39" s="26" t="s">
        <v>560</v>
      </c>
      <c r="C39" s="28">
        <v>46017</v>
      </c>
      <c r="D39" s="26" t="s">
        <v>578</v>
      </c>
      <c r="E39" s="26">
        <v>2.99</v>
      </c>
      <c r="F39" s="26" t="s">
        <v>8</v>
      </c>
      <c r="G39" s="26">
        <v>2.99</v>
      </c>
      <c r="H39" s="26" t="s">
        <v>8</v>
      </c>
      <c r="I39" s="26" t="s">
        <v>547</v>
      </c>
      <c r="J39" s="26" t="s">
        <v>524</v>
      </c>
      <c r="K39" s="26">
        <v>528097</v>
      </c>
      <c r="L39" s="26">
        <v>78786</v>
      </c>
      <c r="M39" s="26" t="s">
        <v>525</v>
      </c>
      <c r="N39" s="31">
        <v>0.906712962962963</v>
      </c>
      <c r="O39" s="32"/>
      <c r="P39" s="26" t="s">
        <v>526</v>
      </c>
      <c r="Q39" s="26" t="s">
        <v>527</v>
      </c>
      <c r="R39" s="32"/>
      <c r="S39" s="26" t="b">
        <v>0</v>
      </c>
      <c r="T39" s="32"/>
      <c r="U39" s="26" t="b">
        <v>1</v>
      </c>
    </row>
    <row r="40" spans="1:21" ht="16" x14ac:dyDescent="0.2">
      <c r="A40" s="25">
        <v>6982</v>
      </c>
      <c r="B40" s="26" t="s">
        <v>521</v>
      </c>
      <c r="C40" s="28">
        <v>46016</v>
      </c>
      <c r="D40" s="30" t="s">
        <v>522</v>
      </c>
      <c r="E40" s="26">
        <v>8.99</v>
      </c>
      <c r="F40" s="26" t="s">
        <v>8</v>
      </c>
      <c r="G40" s="26">
        <v>8.99</v>
      </c>
      <c r="H40" s="26" t="s">
        <v>8</v>
      </c>
      <c r="I40" s="26" t="s">
        <v>523</v>
      </c>
      <c r="J40" s="26" t="s">
        <v>524</v>
      </c>
      <c r="K40" s="26">
        <v>528038</v>
      </c>
      <c r="L40" s="26">
        <v>5007</v>
      </c>
      <c r="M40" s="26" t="s">
        <v>525</v>
      </c>
      <c r="N40" s="31">
        <v>0.19931712962962964</v>
      </c>
      <c r="O40" s="32"/>
      <c r="P40" s="26" t="s">
        <v>526</v>
      </c>
      <c r="Q40" s="26" t="s">
        <v>527</v>
      </c>
      <c r="R40" s="32"/>
      <c r="S40" s="26" t="b">
        <v>0</v>
      </c>
      <c r="T40" s="32"/>
      <c r="U40" s="26" t="b">
        <v>1</v>
      </c>
    </row>
    <row r="41" spans="1:21" ht="16" x14ac:dyDescent="0.2">
      <c r="A41" s="25">
        <v>6982</v>
      </c>
      <c r="B41" s="26" t="s">
        <v>579</v>
      </c>
      <c r="C41" s="28">
        <v>46016</v>
      </c>
      <c r="D41" s="26" t="s">
        <v>580</v>
      </c>
      <c r="E41" s="26">
        <v>4.99</v>
      </c>
      <c r="F41" s="26" t="s">
        <v>8</v>
      </c>
      <c r="G41" s="26">
        <v>4.99</v>
      </c>
      <c r="H41" s="26" t="s">
        <v>8</v>
      </c>
      <c r="I41" s="26" t="s">
        <v>581</v>
      </c>
      <c r="J41" s="26" t="s">
        <v>524</v>
      </c>
      <c r="K41" s="26">
        <v>528060</v>
      </c>
      <c r="L41" s="26">
        <v>22011</v>
      </c>
      <c r="M41" s="26" t="s">
        <v>525</v>
      </c>
      <c r="N41" s="31">
        <v>0.65523148148148147</v>
      </c>
      <c r="O41" s="32"/>
      <c r="P41" s="26" t="s">
        <v>526</v>
      </c>
      <c r="Q41" s="26" t="s">
        <v>527</v>
      </c>
      <c r="R41" s="32"/>
      <c r="S41" s="26" t="b">
        <v>0</v>
      </c>
      <c r="T41" s="32"/>
      <c r="U41" s="26" t="b">
        <v>1</v>
      </c>
    </row>
    <row r="42" spans="1:21" ht="16" x14ac:dyDescent="0.2">
      <c r="A42" s="25">
        <v>6982</v>
      </c>
      <c r="B42" s="26" t="s">
        <v>521</v>
      </c>
      <c r="C42" s="28">
        <v>46015</v>
      </c>
      <c r="D42" s="30" t="s">
        <v>522</v>
      </c>
      <c r="E42" s="26">
        <v>14.99</v>
      </c>
      <c r="F42" s="26" t="s">
        <v>8</v>
      </c>
      <c r="G42" s="26">
        <v>14.99</v>
      </c>
      <c r="H42" s="26" t="s">
        <v>8</v>
      </c>
      <c r="I42" s="26" t="s">
        <v>523</v>
      </c>
      <c r="J42" s="26" t="s">
        <v>524</v>
      </c>
      <c r="K42" s="26">
        <v>527998</v>
      </c>
      <c r="L42" s="26">
        <v>2194</v>
      </c>
      <c r="M42" s="26" t="s">
        <v>525</v>
      </c>
      <c r="N42" s="31">
        <v>9.1666666666666674E-2</v>
      </c>
      <c r="O42" s="26" t="s">
        <v>531</v>
      </c>
      <c r="P42" s="26" t="s">
        <v>526</v>
      </c>
      <c r="Q42" s="26" t="s">
        <v>527</v>
      </c>
      <c r="R42" s="32"/>
      <c r="S42" s="26" t="b">
        <v>0</v>
      </c>
      <c r="T42" s="32"/>
      <c r="U42" s="26" t="b">
        <v>1</v>
      </c>
    </row>
    <row r="43" spans="1:21" ht="16" x14ac:dyDescent="0.2">
      <c r="A43" s="25">
        <v>6982</v>
      </c>
      <c r="B43" s="26" t="s">
        <v>521</v>
      </c>
      <c r="C43" s="28">
        <v>46015</v>
      </c>
      <c r="D43" s="30" t="s">
        <v>522</v>
      </c>
      <c r="E43" s="26">
        <v>7.99</v>
      </c>
      <c r="F43" s="26" t="s">
        <v>8</v>
      </c>
      <c r="G43" s="26">
        <v>7.99</v>
      </c>
      <c r="H43" s="26" t="s">
        <v>8</v>
      </c>
      <c r="I43" s="26" t="s">
        <v>523</v>
      </c>
      <c r="J43" s="26" t="s">
        <v>524</v>
      </c>
      <c r="K43" s="26">
        <v>528024</v>
      </c>
      <c r="L43" s="26">
        <v>5957</v>
      </c>
      <c r="M43" s="26" t="s">
        <v>525</v>
      </c>
      <c r="N43" s="31">
        <v>0.91060185185185183</v>
      </c>
      <c r="O43" s="32"/>
      <c r="P43" s="26" t="s">
        <v>526</v>
      </c>
      <c r="Q43" s="26" t="s">
        <v>527</v>
      </c>
      <c r="R43" s="32"/>
      <c r="S43" s="26" t="b">
        <v>0</v>
      </c>
      <c r="T43" s="32"/>
      <c r="U43" s="26" t="b">
        <v>1</v>
      </c>
    </row>
    <row r="44" spans="1:21" ht="16" x14ac:dyDescent="0.2">
      <c r="A44" s="25">
        <v>6982</v>
      </c>
      <c r="B44" s="26" t="s">
        <v>563</v>
      </c>
      <c r="C44" s="28">
        <v>46014</v>
      </c>
      <c r="D44" s="26" t="s">
        <v>582</v>
      </c>
      <c r="E44" s="26">
        <v>148.22</v>
      </c>
      <c r="F44" s="26" t="s">
        <v>8</v>
      </c>
      <c r="G44" s="26">
        <v>170.07</v>
      </c>
      <c r="H44" s="26" t="s">
        <v>534</v>
      </c>
      <c r="I44" s="26" t="s">
        <v>535</v>
      </c>
      <c r="J44" s="26" t="s">
        <v>524</v>
      </c>
      <c r="K44" s="26">
        <v>527983</v>
      </c>
      <c r="L44" s="26">
        <v>38038</v>
      </c>
      <c r="M44" s="26" t="s">
        <v>525</v>
      </c>
      <c r="N44" s="31">
        <v>0.47923611111111114</v>
      </c>
      <c r="O44" s="32"/>
      <c r="P44" s="26" t="s">
        <v>526</v>
      </c>
      <c r="Q44" s="26" t="s">
        <v>527</v>
      </c>
      <c r="R44" s="32"/>
      <c r="S44" s="26" t="b">
        <v>0</v>
      </c>
      <c r="T44" s="32"/>
      <c r="U44" s="26" t="b">
        <v>1</v>
      </c>
    </row>
    <row r="45" spans="1:21" ht="16" x14ac:dyDescent="0.2">
      <c r="A45" s="25">
        <v>6982</v>
      </c>
      <c r="B45" s="26" t="s">
        <v>583</v>
      </c>
      <c r="C45" s="28">
        <v>46014</v>
      </c>
      <c r="D45" s="26" t="s">
        <v>584</v>
      </c>
      <c r="E45" s="26">
        <v>10.99</v>
      </c>
      <c r="F45" s="26" t="s">
        <v>8</v>
      </c>
      <c r="G45" s="26">
        <v>10.99</v>
      </c>
      <c r="H45" s="26" t="s">
        <v>8</v>
      </c>
      <c r="I45" s="26" t="s">
        <v>565</v>
      </c>
      <c r="J45" s="26" t="s">
        <v>524</v>
      </c>
      <c r="K45" s="26">
        <v>527983</v>
      </c>
      <c r="L45" s="26">
        <v>58809</v>
      </c>
      <c r="M45" s="26" t="s">
        <v>525</v>
      </c>
      <c r="N45" s="31">
        <v>0.69273148148148145</v>
      </c>
      <c r="O45" s="32"/>
      <c r="P45" s="26" t="s">
        <v>526</v>
      </c>
      <c r="Q45" s="26" t="s">
        <v>527</v>
      </c>
      <c r="R45" s="32"/>
      <c r="S45" s="26" t="b">
        <v>0</v>
      </c>
      <c r="T45" s="32"/>
      <c r="U45" s="26" t="b">
        <v>1</v>
      </c>
    </row>
    <row r="46" spans="1:21" ht="16" x14ac:dyDescent="0.2">
      <c r="A46" s="25">
        <v>6982</v>
      </c>
      <c r="B46" s="26" t="s">
        <v>528</v>
      </c>
      <c r="C46" s="28">
        <v>46014</v>
      </c>
      <c r="D46" s="26" t="s">
        <v>585</v>
      </c>
      <c r="E46" s="26">
        <v>1.79</v>
      </c>
      <c r="F46" s="26" t="s">
        <v>8</v>
      </c>
      <c r="G46" s="26">
        <v>1.79</v>
      </c>
      <c r="H46" s="26" t="s">
        <v>8</v>
      </c>
      <c r="I46" s="26" t="s">
        <v>577</v>
      </c>
      <c r="J46" s="26" t="s">
        <v>524</v>
      </c>
      <c r="K46" s="26">
        <v>527988</v>
      </c>
      <c r="L46" s="26">
        <v>5368</v>
      </c>
      <c r="M46" s="26" t="s">
        <v>525</v>
      </c>
      <c r="N46" s="31">
        <v>9.5879629629629634E-2</v>
      </c>
      <c r="O46" s="32"/>
      <c r="P46" s="26" t="s">
        <v>526</v>
      </c>
      <c r="Q46" s="26" t="s">
        <v>527</v>
      </c>
      <c r="R46" s="32"/>
      <c r="S46" s="26" t="b">
        <v>0</v>
      </c>
      <c r="T46" s="32"/>
      <c r="U46" s="26" t="b">
        <v>1</v>
      </c>
    </row>
    <row r="47" spans="1:21" ht="16" x14ac:dyDescent="0.2">
      <c r="A47" s="25">
        <v>6982</v>
      </c>
      <c r="B47" s="26" t="s">
        <v>528</v>
      </c>
      <c r="C47" s="28">
        <v>46013</v>
      </c>
      <c r="D47" s="26" t="s">
        <v>586</v>
      </c>
      <c r="E47" s="26">
        <v>68.459999999999994</v>
      </c>
      <c r="F47" s="26" t="s">
        <v>8</v>
      </c>
      <c r="G47" s="26">
        <v>68.459999999999994</v>
      </c>
      <c r="H47" s="26" t="s">
        <v>8</v>
      </c>
      <c r="I47" s="26" t="s">
        <v>587</v>
      </c>
      <c r="J47" s="26" t="s">
        <v>524</v>
      </c>
      <c r="K47" s="26">
        <v>527941</v>
      </c>
      <c r="L47" s="26">
        <v>49627</v>
      </c>
      <c r="M47" s="26" t="s">
        <v>525</v>
      </c>
      <c r="N47" s="31">
        <v>0.5736458333333333</v>
      </c>
      <c r="O47" s="32"/>
      <c r="P47" s="26" t="s">
        <v>526</v>
      </c>
      <c r="Q47" s="26" t="s">
        <v>527</v>
      </c>
      <c r="R47" s="32"/>
      <c r="S47" s="26" t="b">
        <v>0</v>
      </c>
      <c r="T47" s="32"/>
      <c r="U47" s="26" t="b">
        <v>1</v>
      </c>
    </row>
    <row r="48" spans="1:21" ht="16" x14ac:dyDescent="0.2">
      <c r="A48" s="25">
        <v>6982</v>
      </c>
      <c r="B48" s="26" t="s">
        <v>528</v>
      </c>
      <c r="C48" s="28">
        <v>46013</v>
      </c>
      <c r="D48" s="26" t="s">
        <v>586</v>
      </c>
      <c r="E48" s="26">
        <v>5.33</v>
      </c>
      <c r="F48" s="26" t="s">
        <v>8</v>
      </c>
      <c r="G48" s="26">
        <v>5.33</v>
      </c>
      <c r="H48" s="26" t="s">
        <v>8</v>
      </c>
      <c r="I48" s="26" t="s">
        <v>587</v>
      </c>
      <c r="J48" s="26" t="s">
        <v>524</v>
      </c>
      <c r="K48" s="26">
        <v>527941</v>
      </c>
      <c r="L48" s="26">
        <v>49629</v>
      </c>
      <c r="M48" s="26" t="s">
        <v>525</v>
      </c>
      <c r="N48" s="31">
        <v>0.57788194444444441</v>
      </c>
      <c r="O48" s="32"/>
      <c r="P48" s="26" t="s">
        <v>526</v>
      </c>
      <c r="Q48" s="26" t="s">
        <v>527</v>
      </c>
      <c r="R48" s="32"/>
      <c r="S48" s="26" t="b">
        <v>0</v>
      </c>
      <c r="T48" s="32"/>
      <c r="U48" s="26" t="b">
        <v>1</v>
      </c>
    </row>
    <row r="49" spans="1:21" ht="16" x14ac:dyDescent="0.2">
      <c r="A49" s="25">
        <v>6982</v>
      </c>
      <c r="B49" s="26" t="s">
        <v>521</v>
      </c>
      <c r="C49" s="28">
        <v>46013</v>
      </c>
      <c r="D49" s="30" t="s">
        <v>522</v>
      </c>
      <c r="E49" s="26">
        <v>22.99</v>
      </c>
      <c r="F49" s="26" t="s">
        <v>8</v>
      </c>
      <c r="G49" s="26">
        <v>22.99</v>
      </c>
      <c r="H49" s="26" t="s">
        <v>8</v>
      </c>
      <c r="I49" s="26" t="s">
        <v>523</v>
      </c>
      <c r="J49" s="26" t="s">
        <v>524</v>
      </c>
      <c r="K49" s="26">
        <v>527941</v>
      </c>
      <c r="L49" s="26">
        <v>71841</v>
      </c>
      <c r="M49" s="26" t="s">
        <v>554</v>
      </c>
      <c r="N49" s="31">
        <v>0.49283564814814818</v>
      </c>
      <c r="O49" s="32"/>
      <c r="P49" s="26" t="s">
        <v>526</v>
      </c>
      <c r="Q49" s="26" t="s">
        <v>527</v>
      </c>
      <c r="R49" s="32"/>
      <c r="S49" s="26" t="b">
        <v>0</v>
      </c>
      <c r="T49" s="32"/>
      <c r="U49" s="26" t="b">
        <v>1</v>
      </c>
    </row>
    <row r="50" spans="1:21" ht="16" x14ac:dyDescent="0.2">
      <c r="A50" s="25">
        <v>6982</v>
      </c>
      <c r="B50" s="26" t="s">
        <v>521</v>
      </c>
      <c r="C50" s="28">
        <v>46012</v>
      </c>
      <c r="D50" s="30" t="s">
        <v>522</v>
      </c>
      <c r="E50" s="26">
        <v>16.989999999999998</v>
      </c>
      <c r="F50" s="26" t="s">
        <v>8</v>
      </c>
      <c r="G50" s="26">
        <v>16.989999999999998</v>
      </c>
      <c r="H50" s="26" t="s">
        <v>8</v>
      </c>
      <c r="I50" s="26" t="s">
        <v>523</v>
      </c>
      <c r="J50" s="26" t="s">
        <v>524</v>
      </c>
      <c r="K50" s="26">
        <v>527880</v>
      </c>
      <c r="L50" s="26">
        <v>3839</v>
      </c>
      <c r="M50" s="26" t="s">
        <v>525</v>
      </c>
      <c r="N50" s="31">
        <v>0.15334490740740742</v>
      </c>
      <c r="O50" s="26" t="s">
        <v>531</v>
      </c>
      <c r="P50" s="26" t="s">
        <v>526</v>
      </c>
      <c r="Q50" s="26" t="s">
        <v>527</v>
      </c>
      <c r="R50" s="32"/>
      <c r="S50" s="26" t="b">
        <v>0</v>
      </c>
      <c r="T50" s="32"/>
      <c r="U50" s="26" t="b">
        <v>1</v>
      </c>
    </row>
    <row r="51" spans="1:21" ht="16" x14ac:dyDescent="0.2">
      <c r="A51" s="25">
        <v>6982</v>
      </c>
      <c r="B51" s="26" t="s">
        <v>550</v>
      </c>
      <c r="C51" s="28">
        <v>46012</v>
      </c>
      <c r="D51" s="26" t="s">
        <v>588</v>
      </c>
      <c r="E51" s="26">
        <v>24</v>
      </c>
      <c r="F51" s="26" t="s">
        <v>8</v>
      </c>
      <c r="G51" s="26">
        <v>24</v>
      </c>
      <c r="H51" s="26" t="s">
        <v>8</v>
      </c>
      <c r="I51" s="26" t="s">
        <v>535</v>
      </c>
      <c r="J51" s="26" t="s">
        <v>524</v>
      </c>
      <c r="K51" s="26">
        <v>527888</v>
      </c>
      <c r="L51" s="26">
        <v>8553</v>
      </c>
      <c r="M51" s="26" t="s">
        <v>525</v>
      </c>
      <c r="N51" s="31">
        <v>0.45116898148148149</v>
      </c>
      <c r="O51" s="32"/>
      <c r="P51" s="26" t="s">
        <v>526</v>
      </c>
      <c r="Q51" s="26" t="s">
        <v>527</v>
      </c>
      <c r="R51" s="32"/>
      <c r="S51" s="26" t="b">
        <v>0</v>
      </c>
      <c r="T51" s="32"/>
      <c r="U51" s="26" t="b">
        <v>1</v>
      </c>
    </row>
    <row r="52" spans="1:21" ht="16" x14ac:dyDescent="0.2">
      <c r="A52" s="25">
        <v>6982</v>
      </c>
      <c r="B52" s="26" t="s">
        <v>550</v>
      </c>
      <c r="C52" s="28">
        <v>46011</v>
      </c>
      <c r="D52" s="26" t="s">
        <v>589</v>
      </c>
      <c r="E52" s="26">
        <v>13.92</v>
      </c>
      <c r="F52" s="26" t="s">
        <v>8</v>
      </c>
      <c r="G52" s="26">
        <v>13.92</v>
      </c>
      <c r="H52" s="26" t="s">
        <v>8</v>
      </c>
      <c r="I52" s="26" t="s">
        <v>575</v>
      </c>
      <c r="J52" s="26" t="s">
        <v>524</v>
      </c>
      <c r="K52" s="26">
        <v>527859</v>
      </c>
      <c r="L52" s="26">
        <v>13960</v>
      </c>
      <c r="M52" s="26" t="s">
        <v>525</v>
      </c>
      <c r="N52" s="31">
        <v>0.40446759259259263</v>
      </c>
      <c r="O52" s="32"/>
      <c r="P52" s="26" t="s">
        <v>526</v>
      </c>
      <c r="Q52" s="26" t="s">
        <v>527</v>
      </c>
      <c r="R52" s="32"/>
      <c r="S52" s="26" t="b">
        <v>0</v>
      </c>
      <c r="T52" s="32"/>
      <c r="U52" s="26" t="b">
        <v>1</v>
      </c>
    </row>
    <row r="53" spans="1:21" ht="16" x14ac:dyDescent="0.2">
      <c r="A53" s="25">
        <v>6982</v>
      </c>
      <c r="B53" s="26" t="s">
        <v>521</v>
      </c>
      <c r="C53" s="28">
        <v>46011</v>
      </c>
      <c r="D53" s="30" t="s">
        <v>522</v>
      </c>
      <c r="E53" s="26">
        <v>36.99</v>
      </c>
      <c r="F53" s="26" t="s">
        <v>8</v>
      </c>
      <c r="G53" s="26">
        <v>36.99</v>
      </c>
      <c r="H53" s="26" t="s">
        <v>8</v>
      </c>
      <c r="I53" s="26" t="s">
        <v>523</v>
      </c>
      <c r="J53" s="26" t="s">
        <v>524</v>
      </c>
      <c r="K53" s="26">
        <v>527871</v>
      </c>
      <c r="L53" s="26">
        <v>17671</v>
      </c>
      <c r="M53" s="26" t="s">
        <v>525</v>
      </c>
      <c r="N53" s="31">
        <v>0.60251157407407407</v>
      </c>
      <c r="O53" s="32"/>
      <c r="P53" s="26" t="s">
        <v>526</v>
      </c>
      <c r="Q53" s="26" t="s">
        <v>527</v>
      </c>
      <c r="R53" s="32"/>
      <c r="S53" s="26" t="b">
        <v>0</v>
      </c>
      <c r="T53" s="32"/>
      <c r="U53" s="26" t="b">
        <v>1</v>
      </c>
    </row>
    <row r="54" spans="1:21" ht="16" x14ac:dyDescent="0.2">
      <c r="A54" s="25">
        <v>6982</v>
      </c>
      <c r="B54" s="26" t="s">
        <v>560</v>
      </c>
      <c r="C54" s="28">
        <v>46010</v>
      </c>
      <c r="D54" s="30" t="s">
        <v>590</v>
      </c>
      <c r="E54" s="26">
        <v>8.7100000000000009</v>
      </c>
      <c r="F54" s="26" t="s">
        <v>8</v>
      </c>
      <c r="G54" s="26">
        <v>10</v>
      </c>
      <c r="H54" s="26" t="s">
        <v>534</v>
      </c>
      <c r="I54" s="26" t="s">
        <v>535</v>
      </c>
      <c r="J54" s="26" t="s">
        <v>524</v>
      </c>
      <c r="K54" s="26">
        <v>527832</v>
      </c>
      <c r="L54" s="26">
        <v>74400</v>
      </c>
      <c r="M54" s="26" t="s">
        <v>525</v>
      </c>
      <c r="N54" s="31">
        <v>0.76428240740740738</v>
      </c>
      <c r="O54" s="32"/>
      <c r="P54" s="26" t="s">
        <v>526</v>
      </c>
      <c r="Q54" s="26" t="s">
        <v>527</v>
      </c>
      <c r="R54" s="32"/>
      <c r="S54" s="26" t="b">
        <v>0</v>
      </c>
      <c r="T54" s="32"/>
      <c r="U54" s="26" t="b">
        <v>1</v>
      </c>
    </row>
    <row r="55" spans="1:21" ht="16" x14ac:dyDescent="0.2">
      <c r="A55" s="25">
        <v>6982</v>
      </c>
      <c r="B55" s="26" t="s">
        <v>583</v>
      </c>
      <c r="C55" s="28">
        <v>46009</v>
      </c>
      <c r="D55" s="26" t="s">
        <v>591</v>
      </c>
      <c r="E55" s="26">
        <v>37.700000000000003</v>
      </c>
      <c r="F55" s="26" t="s">
        <v>8</v>
      </c>
      <c r="G55" s="26">
        <v>37.700000000000003</v>
      </c>
      <c r="H55" s="26" t="s">
        <v>8</v>
      </c>
      <c r="I55" s="26" t="s">
        <v>544</v>
      </c>
      <c r="J55" s="26" t="s">
        <v>524</v>
      </c>
      <c r="K55" s="26">
        <v>527772</v>
      </c>
      <c r="L55" s="26">
        <v>4876</v>
      </c>
      <c r="M55" s="26" t="s">
        <v>525</v>
      </c>
      <c r="N55" s="31">
        <v>0.37391203703703701</v>
      </c>
      <c r="O55" s="32"/>
      <c r="P55" s="26" t="s">
        <v>526</v>
      </c>
      <c r="Q55" s="26" t="s">
        <v>527</v>
      </c>
      <c r="R55" s="32"/>
      <c r="S55" s="26" t="b">
        <v>0</v>
      </c>
      <c r="T55" s="32"/>
      <c r="U55" s="26" t="b">
        <v>1</v>
      </c>
    </row>
    <row r="56" spans="1:21" ht="16" x14ac:dyDescent="0.2">
      <c r="A56" s="25">
        <v>6982</v>
      </c>
      <c r="B56" s="26" t="s">
        <v>521</v>
      </c>
      <c r="C56" s="28">
        <v>46009</v>
      </c>
      <c r="D56" s="30" t="s">
        <v>522</v>
      </c>
      <c r="E56" s="26">
        <v>7.99</v>
      </c>
      <c r="F56" s="26" t="s">
        <v>8</v>
      </c>
      <c r="G56" s="26">
        <v>7.99</v>
      </c>
      <c r="H56" s="26" t="s">
        <v>8</v>
      </c>
      <c r="I56" s="26" t="s">
        <v>523</v>
      </c>
      <c r="J56" s="26" t="s">
        <v>524</v>
      </c>
      <c r="K56" s="26">
        <v>527793</v>
      </c>
      <c r="L56" s="26">
        <v>16056</v>
      </c>
      <c r="M56" s="26" t="s">
        <v>525</v>
      </c>
      <c r="N56" s="31">
        <v>0.42299768518518516</v>
      </c>
      <c r="O56" s="32"/>
      <c r="P56" s="26" t="s">
        <v>526</v>
      </c>
      <c r="Q56" s="26" t="s">
        <v>527</v>
      </c>
      <c r="R56" s="32"/>
      <c r="S56" s="26" t="b">
        <v>0</v>
      </c>
      <c r="T56" s="32"/>
      <c r="U56" s="26" t="b">
        <v>1</v>
      </c>
    </row>
    <row r="57" spans="1:21" ht="16" x14ac:dyDescent="0.2">
      <c r="A57" s="25">
        <v>6982</v>
      </c>
      <c r="B57" s="26" t="s">
        <v>592</v>
      </c>
      <c r="C57" s="28">
        <v>46009</v>
      </c>
      <c r="D57" s="26" t="s">
        <v>593</v>
      </c>
      <c r="E57" s="26">
        <v>25</v>
      </c>
      <c r="F57" s="26" t="s">
        <v>8</v>
      </c>
      <c r="G57" s="26">
        <v>25</v>
      </c>
      <c r="H57" s="26" t="s">
        <v>8</v>
      </c>
      <c r="I57" s="26" t="s">
        <v>544</v>
      </c>
      <c r="J57" s="26" t="s">
        <v>536</v>
      </c>
      <c r="K57" s="26">
        <v>-31647547</v>
      </c>
      <c r="L57" s="26">
        <v>-1</v>
      </c>
      <c r="M57" s="26" t="s">
        <v>525</v>
      </c>
      <c r="N57" s="31">
        <v>0.34728009259259257</v>
      </c>
      <c r="O57" s="32"/>
      <c r="P57" s="26" t="s">
        <v>526</v>
      </c>
      <c r="Q57" s="26" t="s">
        <v>527</v>
      </c>
      <c r="R57" s="32"/>
      <c r="S57" s="26" t="b">
        <v>0</v>
      </c>
      <c r="T57" s="26">
        <v>0</v>
      </c>
      <c r="U57" s="26" t="b">
        <v>0</v>
      </c>
    </row>
    <row r="58" spans="1:21" ht="16" x14ac:dyDescent="0.2">
      <c r="A58" s="25">
        <v>6982</v>
      </c>
      <c r="B58" s="26" t="s">
        <v>521</v>
      </c>
      <c r="C58" s="28">
        <v>46008</v>
      </c>
      <c r="D58" s="30" t="s">
        <v>522</v>
      </c>
      <c r="E58" s="26">
        <v>14.99</v>
      </c>
      <c r="F58" s="26" t="s">
        <v>8</v>
      </c>
      <c r="G58" s="26">
        <v>14.99</v>
      </c>
      <c r="H58" s="26" t="s">
        <v>8</v>
      </c>
      <c r="I58" s="26" t="s">
        <v>523</v>
      </c>
      <c r="J58" s="26" t="s">
        <v>524</v>
      </c>
      <c r="K58" s="26">
        <v>527728</v>
      </c>
      <c r="L58" s="26">
        <v>1278</v>
      </c>
      <c r="M58" s="26" t="s">
        <v>525</v>
      </c>
      <c r="N58" s="31">
        <v>9.1516203703703711E-2</v>
      </c>
      <c r="O58" s="26" t="s">
        <v>531</v>
      </c>
      <c r="P58" s="26" t="s">
        <v>526</v>
      </c>
      <c r="Q58" s="26" t="s">
        <v>527</v>
      </c>
      <c r="R58" s="32"/>
      <c r="S58" s="26" t="b">
        <v>0</v>
      </c>
      <c r="T58" s="32"/>
      <c r="U58" s="26" t="b">
        <v>1</v>
      </c>
    </row>
    <row r="59" spans="1:21" ht="16" x14ac:dyDescent="0.2">
      <c r="A59" s="25">
        <v>6982</v>
      </c>
      <c r="B59" s="26" t="s">
        <v>521</v>
      </c>
      <c r="C59" s="28">
        <v>46008</v>
      </c>
      <c r="D59" s="30" t="s">
        <v>522</v>
      </c>
      <c r="E59" s="26">
        <v>7.99</v>
      </c>
      <c r="F59" s="26" t="s">
        <v>8</v>
      </c>
      <c r="G59" s="26">
        <v>7.99</v>
      </c>
      <c r="H59" s="26" t="s">
        <v>8</v>
      </c>
      <c r="I59" s="26" t="s">
        <v>523</v>
      </c>
      <c r="J59" s="26" t="s">
        <v>524</v>
      </c>
      <c r="K59" s="26">
        <v>527728</v>
      </c>
      <c r="L59" s="26">
        <v>3958</v>
      </c>
      <c r="M59" s="26" t="s">
        <v>525</v>
      </c>
      <c r="N59" s="31">
        <v>0.1774189814814815</v>
      </c>
      <c r="O59" s="32"/>
      <c r="P59" s="26" t="s">
        <v>526</v>
      </c>
      <c r="Q59" s="26" t="s">
        <v>527</v>
      </c>
      <c r="R59" s="32"/>
      <c r="S59" s="26" t="b">
        <v>0</v>
      </c>
      <c r="T59" s="32"/>
      <c r="U59" s="26" t="b">
        <v>1</v>
      </c>
    </row>
    <row r="60" spans="1:21" ht="16" x14ac:dyDescent="0.2">
      <c r="A60" s="25">
        <v>6982</v>
      </c>
      <c r="B60" s="26" t="s">
        <v>550</v>
      </c>
      <c r="C60" s="28">
        <v>46008</v>
      </c>
      <c r="D60" s="26" t="s">
        <v>594</v>
      </c>
      <c r="E60" s="26">
        <v>6.95</v>
      </c>
      <c r="F60" s="26" t="s">
        <v>8</v>
      </c>
      <c r="G60" s="26">
        <v>8</v>
      </c>
      <c r="H60" s="26" t="s">
        <v>534</v>
      </c>
      <c r="I60" s="26" t="s">
        <v>535</v>
      </c>
      <c r="J60" s="26" t="s">
        <v>524</v>
      </c>
      <c r="K60" s="26">
        <v>527738</v>
      </c>
      <c r="L60" s="26">
        <v>12955</v>
      </c>
      <c r="M60" s="26" t="s">
        <v>525</v>
      </c>
      <c r="N60" s="31">
        <v>0.5244212962962963</v>
      </c>
      <c r="O60" s="32"/>
      <c r="P60" s="26" t="s">
        <v>526</v>
      </c>
      <c r="Q60" s="26" t="s">
        <v>527</v>
      </c>
      <c r="R60" s="32"/>
      <c r="S60" s="26" t="b">
        <v>0</v>
      </c>
      <c r="T60" s="32"/>
      <c r="U60" s="26" t="b">
        <v>1</v>
      </c>
    </row>
    <row r="61" spans="1:21" ht="16" x14ac:dyDescent="0.2">
      <c r="A61" s="25">
        <v>6982</v>
      </c>
      <c r="B61" s="26" t="s">
        <v>550</v>
      </c>
      <c r="C61" s="28">
        <v>46008</v>
      </c>
      <c r="D61" s="26" t="s">
        <v>595</v>
      </c>
      <c r="E61" s="26">
        <v>-52.29</v>
      </c>
      <c r="F61" s="26" t="s">
        <v>8</v>
      </c>
      <c r="G61" s="26">
        <v>-60</v>
      </c>
      <c r="H61" s="26" t="s">
        <v>534</v>
      </c>
      <c r="I61" s="26" t="s">
        <v>535</v>
      </c>
      <c r="J61" s="26" t="s">
        <v>524</v>
      </c>
      <c r="K61" s="26">
        <v>527799</v>
      </c>
      <c r="L61" s="26">
        <v>64006</v>
      </c>
      <c r="M61" s="26" t="s">
        <v>525</v>
      </c>
      <c r="N61" s="31">
        <v>0.21504629629629632</v>
      </c>
      <c r="O61" s="32"/>
      <c r="P61" s="26" t="s">
        <v>526</v>
      </c>
      <c r="Q61" s="26" t="s">
        <v>527</v>
      </c>
      <c r="R61" s="32"/>
      <c r="S61" s="26" t="b">
        <v>0</v>
      </c>
      <c r="T61" s="32"/>
      <c r="U61" s="26" t="b">
        <v>1</v>
      </c>
    </row>
    <row r="62" spans="1:21" ht="16" x14ac:dyDescent="0.2">
      <c r="A62" s="25">
        <v>6982</v>
      </c>
      <c r="B62" s="26" t="s">
        <v>596</v>
      </c>
      <c r="C62" s="28">
        <v>46008</v>
      </c>
      <c r="D62" s="26" t="s">
        <v>597</v>
      </c>
      <c r="E62" s="26">
        <v>59.99</v>
      </c>
      <c r="F62" s="26" t="s">
        <v>8</v>
      </c>
      <c r="G62" s="26">
        <v>59.99</v>
      </c>
      <c r="H62" s="26" t="s">
        <v>8</v>
      </c>
      <c r="I62" s="26" t="s">
        <v>598</v>
      </c>
      <c r="J62" s="26" t="s">
        <v>524</v>
      </c>
      <c r="K62" s="26">
        <v>527941</v>
      </c>
      <c r="L62" s="26">
        <v>96297</v>
      </c>
      <c r="M62" s="26" t="s">
        <v>525</v>
      </c>
      <c r="N62" s="31">
        <v>0.72679398148148155</v>
      </c>
      <c r="O62" s="32"/>
      <c r="P62" s="26" t="s">
        <v>526</v>
      </c>
      <c r="Q62" s="26" t="s">
        <v>527</v>
      </c>
      <c r="R62" s="32"/>
      <c r="S62" s="26" t="b">
        <v>0</v>
      </c>
      <c r="T62" s="32"/>
      <c r="U62" s="26" t="b">
        <v>1</v>
      </c>
    </row>
    <row r="63" spans="1:21" ht="16" x14ac:dyDescent="0.2">
      <c r="A63" s="25">
        <v>6982</v>
      </c>
      <c r="B63" s="26" t="s">
        <v>521</v>
      </c>
      <c r="C63" s="28">
        <v>46007</v>
      </c>
      <c r="D63" s="30" t="s">
        <v>522</v>
      </c>
      <c r="E63" s="26">
        <v>33.99</v>
      </c>
      <c r="F63" s="26" t="s">
        <v>8</v>
      </c>
      <c r="G63" s="26">
        <v>33.99</v>
      </c>
      <c r="H63" s="26" t="s">
        <v>8</v>
      </c>
      <c r="I63" s="26" t="s">
        <v>523</v>
      </c>
      <c r="J63" s="26" t="s">
        <v>524</v>
      </c>
      <c r="K63" s="26">
        <v>527711</v>
      </c>
      <c r="L63" s="26">
        <v>19409</v>
      </c>
      <c r="M63" s="26" t="s">
        <v>525</v>
      </c>
      <c r="N63" s="31">
        <v>0.5157870370370371</v>
      </c>
      <c r="O63" s="32"/>
      <c r="P63" s="26" t="s">
        <v>526</v>
      </c>
      <c r="Q63" s="26" t="s">
        <v>527</v>
      </c>
      <c r="R63" s="32"/>
      <c r="S63" s="26" t="b">
        <v>0</v>
      </c>
      <c r="T63" s="32"/>
      <c r="U63" s="26" t="b">
        <v>1</v>
      </c>
    </row>
    <row r="64" spans="1:21" ht="16" x14ac:dyDescent="0.2">
      <c r="A64" s="25">
        <v>6982</v>
      </c>
      <c r="B64" s="26" t="s">
        <v>521</v>
      </c>
      <c r="C64" s="28">
        <v>46007</v>
      </c>
      <c r="D64" s="30" t="s">
        <v>522</v>
      </c>
      <c r="E64" s="26">
        <v>7.99</v>
      </c>
      <c r="F64" s="26" t="s">
        <v>8</v>
      </c>
      <c r="G64" s="26">
        <v>7.99</v>
      </c>
      <c r="H64" s="26" t="s">
        <v>8</v>
      </c>
      <c r="I64" s="26" t="s">
        <v>523</v>
      </c>
      <c r="J64" s="26" t="s">
        <v>524</v>
      </c>
      <c r="K64" s="26">
        <v>527711</v>
      </c>
      <c r="L64" s="26">
        <v>22157</v>
      </c>
      <c r="M64" s="26" t="s">
        <v>525</v>
      </c>
      <c r="N64" s="31">
        <v>0.58011574074074079</v>
      </c>
      <c r="O64" s="32"/>
      <c r="P64" s="26" t="s">
        <v>526</v>
      </c>
      <c r="Q64" s="26" t="s">
        <v>527</v>
      </c>
      <c r="R64" s="32"/>
      <c r="S64" s="26" t="b">
        <v>0</v>
      </c>
      <c r="T64" s="32"/>
      <c r="U64" s="26" t="b">
        <v>1</v>
      </c>
    </row>
    <row r="65" spans="1:21" ht="16" x14ac:dyDescent="0.2">
      <c r="A65" s="25">
        <v>6982</v>
      </c>
      <c r="B65" s="26" t="s">
        <v>521</v>
      </c>
      <c r="C65" s="28">
        <v>46007</v>
      </c>
      <c r="D65" s="30" t="s">
        <v>522</v>
      </c>
      <c r="E65" s="26">
        <v>7.49</v>
      </c>
      <c r="F65" s="26" t="s">
        <v>8</v>
      </c>
      <c r="G65" s="26">
        <v>7.49</v>
      </c>
      <c r="H65" s="26" t="s">
        <v>8</v>
      </c>
      <c r="I65" s="26" t="s">
        <v>523</v>
      </c>
      <c r="J65" s="26" t="s">
        <v>524</v>
      </c>
      <c r="K65" s="26">
        <v>527711</v>
      </c>
      <c r="L65" s="26">
        <v>23294</v>
      </c>
      <c r="M65" s="26" t="s">
        <v>525</v>
      </c>
      <c r="N65" s="31">
        <v>0.60878472222222224</v>
      </c>
      <c r="O65" s="32"/>
      <c r="P65" s="26" t="s">
        <v>526</v>
      </c>
      <c r="Q65" s="26" t="s">
        <v>527</v>
      </c>
      <c r="R65" s="32"/>
      <c r="S65" s="26" t="b">
        <v>0</v>
      </c>
      <c r="T65" s="32"/>
      <c r="U65" s="26" t="b">
        <v>1</v>
      </c>
    </row>
    <row r="66" spans="1:21" ht="16" x14ac:dyDescent="0.2">
      <c r="A66" s="25">
        <v>6982</v>
      </c>
      <c r="B66" s="26" t="s">
        <v>583</v>
      </c>
      <c r="C66" s="28">
        <v>46006</v>
      </c>
      <c r="D66" s="26" t="s">
        <v>599</v>
      </c>
      <c r="E66" s="26">
        <v>44.97</v>
      </c>
      <c r="F66" s="26" t="s">
        <v>8</v>
      </c>
      <c r="G66" s="26">
        <v>44.97</v>
      </c>
      <c r="H66" s="26" t="s">
        <v>8</v>
      </c>
      <c r="I66" s="26" t="s">
        <v>600</v>
      </c>
      <c r="J66" s="26" t="s">
        <v>524</v>
      </c>
      <c r="K66" s="26">
        <v>527670</v>
      </c>
      <c r="L66" s="26">
        <v>32568</v>
      </c>
      <c r="M66" s="26" t="s">
        <v>554</v>
      </c>
      <c r="N66" s="31">
        <v>0.47803240740740738</v>
      </c>
      <c r="O66" s="26" t="s">
        <v>531</v>
      </c>
      <c r="P66" s="26" t="s">
        <v>526</v>
      </c>
      <c r="Q66" s="26" t="s">
        <v>527</v>
      </c>
      <c r="R66" s="32"/>
      <c r="S66" s="26" t="b">
        <v>0</v>
      </c>
      <c r="T66" s="32"/>
      <c r="U66" s="26" t="b">
        <v>1</v>
      </c>
    </row>
    <row r="67" spans="1:21" ht="16" x14ac:dyDescent="0.2">
      <c r="A67" s="25">
        <v>6982</v>
      </c>
      <c r="B67" s="26" t="s">
        <v>521</v>
      </c>
      <c r="C67" s="28">
        <v>46006</v>
      </c>
      <c r="D67" s="26" t="s">
        <v>601</v>
      </c>
      <c r="E67" s="26">
        <v>11.99</v>
      </c>
      <c r="F67" s="26" t="s">
        <v>8</v>
      </c>
      <c r="G67" s="26">
        <v>11.99</v>
      </c>
      <c r="H67" s="26" t="s">
        <v>8</v>
      </c>
      <c r="I67" s="26" t="s">
        <v>602</v>
      </c>
      <c r="J67" s="26" t="s">
        <v>524</v>
      </c>
      <c r="K67" s="26">
        <v>527670</v>
      </c>
      <c r="L67" s="26">
        <v>36559</v>
      </c>
      <c r="M67" s="26" t="s">
        <v>525</v>
      </c>
      <c r="N67" s="31">
        <v>0.68700231481481477</v>
      </c>
      <c r="O67" s="32"/>
      <c r="P67" s="26" t="s">
        <v>526</v>
      </c>
      <c r="Q67" s="26" t="s">
        <v>527</v>
      </c>
      <c r="R67" s="32"/>
      <c r="S67" s="26" t="b">
        <v>0</v>
      </c>
      <c r="T67" s="32"/>
      <c r="U67" s="26" t="b">
        <v>1</v>
      </c>
    </row>
    <row r="68" spans="1:21" ht="16" x14ac:dyDescent="0.2">
      <c r="A68" s="25">
        <v>6982</v>
      </c>
      <c r="B68" s="26" t="s">
        <v>583</v>
      </c>
      <c r="C68" s="28">
        <v>46006</v>
      </c>
      <c r="D68" s="26" t="s">
        <v>591</v>
      </c>
      <c r="E68" s="26">
        <v>30.7</v>
      </c>
      <c r="F68" s="26" t="s">
        <v>8</v>
      </c>
      <c r="G68" s="26">
        <v>30.7</v>
      </c>
      <c r="H68" s="26" t="s">
        <v>8</v>
      </c>
      <c r="I68" s="26" t="s">
        <v>544</v>
      </c>
      <c r="J68" s="26" t="s">
        <v>524</v>
      </c>
      <c r="K68" s="26">
        <v>527670</v>
      </c>
      <c r="L68" s="26">
        <v>43276</v>
      </c>
      <c r="M68" s="26" t="s">
        <v>525</v>
      </c>
      <c r="N68" s="31">
        <v>0.57662037037037039</v>
      </c>
      <c r="O68" s="32"/>
      <c r="P68" s="26" t="s">
        <v>526</v>
      </c>
      <c r="Q68" s="26" t="s">
        <v>527</v>
      </c>
      <c r="R68" s="32"/>
      <c r="S68" s="26" t="b">
        <v>0</v>
      </c>
      <c r="T68" s="32"/>
      <c r="U68" s="26" t="b">
        <v>1</v>
      </c>
    </row>
    <row r="69" spans="1:21" ht="16" x14ac:dyDescent="0.2">
      <c r="A69" s="25">
        <v>6982</v>
      </c>
      <c r="B69" s="26" t="s">
        <v>592</v>
      </c>
      <c r="C69" s="28">
        <v>46006</v>
      </c>
      <c r="D69" s="26" t="s">
        <v>593</v>
      </c>
      <c r="E69" s="26">
        <v>25</v>
      </c>
      <c r="F69" s="26" t="s">
        <v>8</v>
      </c>
      <c r="G69" s="26">
        <v>25</v>
      </c>
      <c r="H69" s="26" t="s">
        <v>8</v>
      </c>
      <c r="I69" s="26" t="s">
        <v>544</v>
      </c>
      <c r="J69" s="26" t="s">
        <v>536</v>
      </c>
      <c r="K69" s="26">
        <v>-28992937</v>
      </c>
      <c r="L69" s="26">
        <v>-1</v>
      </c>
      <c r="M69" s="26" t="s">
        <v>525</v>
      </c>
      <c r="N69" s="31">
        <v>0.55265046296296294</v>
      </c>
      <c r="O69" s="32"/>
      <c r="P69" s="26" t="s">
        <v>526</v>
      </c>
      <c r="Q69" s="26" t="s">
        <v>527</v>
      </c>
      <c r="R69" s="32"/>
      <c r="S69" s="26" t="b">
        <v>0</v>
      </c>
      <c r="T69" s="26">
        <v>0</v>
      </c>
      <c r="U69" s="26" t="b">
        <v>0</v>
      </c>
    </row>
    <row r="70" spans="1:21" ht="16" x14ac:dyDescent="0.2">
      <c r="A70" s="25">
        <v>6982</v>
      </c>
      <c r="B70" s="26" t="s">
        <v>592</v>
      </c>
      <c r="C70" s="28">
        <v>46006</v>
      </c>
      <c r="D70" s="26" t="s">
        <v>603</v>
      </c>
      <c r="E70" s="26">
        <v>0</v>
      </c>
      <c r="F70" s="26" t="s">
        <v>8</v>
      </c>
      <c r="G70" s="26">
        <v>0</v>
      </c>
      <c r="H70" s="26" t="s">
        <v>8</v>
      </c>
      <c r="I70" s="26" t="s">
        <v>544</v>
      </c>
      <c r="J70" s="26" t="s">
        <v>536</v>
      </c>
      <c r="K70" s="26">
        <v>-28975973</v>
      </c>
      <c r="L70" s="26">
        <v>-1</v>
      </c>
      <c r="M70" s="26" t="s">
        <v>525</v>
      </c>
      <c r="N70" s="31">
        <v>0.52967592592592594</v>
      </c>
      <c r="O70" s="32"/>
      <c r="P70" s="26" t="s">
        <v>526</v>
      </c>
      <c r="Q70" s="26" t="s">
        <v>527</v>
      </c>
      <c r="R70" s="32"/>
      <c r="S70" s="26" t="b">
        <v>0</v>
      </c>
      <c r="T70" s="26">
        <v>0</v>
      </c>
      <c r="U70" s="26" t="b">
        <v>0</v>
      </c>
    </row>
    <row r="71" spans="1:21" ht="16" x14ac:dyDescent="0.2">
      <c r="A71" s="25">
        <v>6982</v>
      </c>
      <c r="B71" s="26" t="s">
        <v>604</v>
      </c>
      <c r="C71" s="28">
        <v>46005</v>
      </c>
      <c r="D71" s="30" t="s">
        <v>605</v>
      </c>
      <c r="E71" s="26">
        <v>15.78</v>
      </c>
      <c r="F71" s="26" t="s">
        <v>8</v>
      </c>
      <c r="G71" s="26">
        <v>18.14</v>
      </c>
      <c r="H71" s="26" t="s">
        <v>534</v>
      </c>
      <c r="I71" s="26" t="s">
        <v>539</v>
      </c>
      <c r="J71" s="26" t="s">
        <v>524</v>
      </c>
      <c r="K71" s="26">
        <v>527624</v>
      </c>
      <c r="L71" s="26">
        <v>83176</v>
      </c>
      <c r="M71" s="26" t="s">
        <v>525</v>
      </c>
      <c r="N71" s="31">
        <v>0.59164351851851849</v>
      </c>
      <c r="O71" s="32"/>
      <c r="P71" s="26" t="s">
        <v>526</v>
      </c>
      <c r="Q71" s="26" t="s">
        <v>527</v>
      </c>
      <c r="R71" s="32"/>
      <c r="S71" s="26" t="b">
        <v>0</v>
      </c>
      <c r="T71" s="32"/>
      <c r="U71" s="26" t="b">
        <v>1</v>
      </c>
    </row>
    <row r="72" spans="1:21" ht="16" x14ac:dyDescent="0.2">
      <c r="A72" s="25">
        <v>6982</v>
      </c>
      <c r="B72" s="26" t="s">
        <v>528</v>
      </c>
      <c r="C72" s="28">
        <v>46005</v>
      </c>
      <c r="D72" s="26" t="s">
        <v>606</v>
      </c>
      <c r="E72" s="26">
        <v>15.52</v>
      </c>
      <c r="F72" s="26" t="s">
        <v>8</v>
      </c>
      <c r="G72" s="26">
        <v>15.52</v>
      </c>
      <c r="H72" s="26" t="s">
        <v>8</v>
      </c>
      <c r="I72" s="26" t="s">
        <v>544</v>
      </c>
      <c r="J72" s="26" t="s">
        <v>524</v>
      </c>
      <c r="K72" s="26">
        <v>527624</v>
      </c>
      <c r="L72" s="26">
        <v>84175</v>
      </c>
      <c r="M72" s="26" t="s">
        <v>525</v>
      </c>
      <c r="N72" s="31">
        <v>0.66314814814814815</v>
      </c>
      <c r="O72" s="32"/>
      <c r="P72" s="26" t="s">
        <v>526</v>
      </c>
      <c r="Q72" s="26" t="s">
        <v>527</v>
      </c>
      <c r="R72" s="32"/>
      <c r="S72" s="26" t="b">
        <v>0</v>
      </c>
      <c r="T72" s="32"/>
      <c r="U72" s="26" t="b">
        <v>1</v>
      </c>
    </row>
    <row r="73" spans="1:21" ht="16" x14ac:dyDescent="0.2">
      <c r="A73" s="25">
        <v>6982</v>
      </c>
      <c r="B73" s="26" t="s">
        <v>550</v>
      </c>
      <c r="C73" s="28">
        <v>46005</v>
      </c>
      <c r="D73" s="26" t="s">
        <v>595</v>
      </c>
      <c r="E73" s="26">
        <v>52.22</v>
      </c>
      <c r="F73" s="26" t="s">
        <v>8</v>
      </c>
      <c r="G73" s="26">
        <v>60</v>
      </c>
      <c r="H73" s="26" t="s">
        <v>534</v>
      </c>
      <c r="I73" s="26" t="s">
        <v>535</v>
      </c>
      <c r="J73" s="26" t="s">
        <v>524</v>
      </c>
      <c r="K73" s="26">
        <v>527625</v>
      </c>
      <c r="L73" s="26">
        <v>1730</v>
      </c>
      <c r="M73" s="26" t="s">
        <v>525</v>
      </c>
      <c r="N73" s="31">
        <v>0.57500000000000007</v>
      </c>
      <c r="O73" s="32"/>
      <c r="P73" s="26" t="s">
        <v>526</v>
      </c>
      <c r="Q73" s="26" t="s">
        <v>527</v>
      </c>
      <c r="R73" s="32"/>
      <c r="S73" s="26" t="b">
        <v>0</v>
      </c>
      <c r="T73" s="32"/>
      <c r="U73" s="26" t="b">
        <v>1</v>
      </c>
    </row>
    <row r="74" spans="1:21" ht="16" x14ac:dyDescent="0.2">
      <c r="A74" s="25">
        <v>6982</v>
      </c>
      <c r="B74" s="26" t="s">
        <v>528</v>
      </c>
      <c r="C74" s="28">
        <v>46004</v>
      </c>
      <c r="D74" s="26" t="s">
        <v>529</v>
      </c>
      <c r="E74" s="26">
        <v>4.5599999999999996</v>
      </c>
      <c r="F74" s="26" t="s">
        <v>8</v>
      </c>
      <c r="G74" s="26">
        <v>4.5599999999999996</v>
      </c>
      <c r="H74" s="26" t="s">
        <v>8</v>
      </c>
      <c r="I74" s="26" t="s">
        <v>530</v>
      </c>
      <c r="J74" s="26" t="s">
        <v>524</v>
      </c>
      <c r="K74" s="26">
        <v>527580</v>
      </c>
      <c r="L74" s="26">
        <v>24159</v>
      </c>
      <c r="M74" s="26" t="s">
        <v>525</v>
      </c>
      <c r="N74" s="31">
        <v>0.27811342592592592</v>
      </c>
      <c r="O74" s="26" t="s">
        <v>531</v>
      </c>
      <c r="P74" s="26" t="s">
        <v>526</v>
      </c>
      <c r="Q74" s="26" t="s">
        <v>527</v>
      </c>
      <c r="R74" s="32"/>
      <c r="S74" s="26" t="b">
        <v>0</v>
      </c>
      <c r="T74" s="32"/>
      <c r="U74" s="26" t="b">
        <v>1</v>
      </c>
    </row>
    <row r="75" spans="1:21" ht="16" x14ac:dyDescent="0.2">
      <c r="A75" s="25">
        <v>6982</v>
      </c>
      <c r="B75" s="26" t="s">
        <v>563</v>
      </c>
      <c r="C75" s="28">
        <v>46004</v>
      </c>
      <c r="D75" s="26" t="s">
        <v>607</v>
      </c>
      <c r="E75" s="26">
        <v>21.75</v>
      </c>
      <c r="F75" s="26" t="s">
        <v>8</v>
      </c>
      <c r="G75" s="26">
        <v>25</v>
      </c>
      <c r="H75" s="26" t="s">
        <v>534</v>
      </c>
      <c r="I75" s="26" t="s">
        <v>535</v>
      </c>
      <c r="J75" s="26" t="s">
        <v>524</v>
      </c>
      <c r="K75" s="26">
        <v>527587</v>
      </c>
      <c r="L75" s="26">
        <v>1983</v>
      </c>
      <c r="M75" s="26" t="s">
        <v>525</v>
      </c>
      <c r="N75" s="31">
        <v>0.463900462962963</v>
      </c>
      <c r="O75" s="32"/>
      <c r="P75" s="26" t="s">
        <v>526</v>
      </c>
      <c r="Q75" s="26" t="s">
        <v>527</v>
      </c>
      <c r="R75" s="32"/>
      <c r="S75" s="26" t="b">
        <v>0</v>
      </c>
      <c r="T75" s="32"/>
      <c r="U75" s="26" t="b">
        <v>1</v>
      </c>
    </row>
    <row r="76" spans="1:21" ht="16" x14ac:dyDescent="0.2">
      <c r="A76" s="25">
        <v>6982</v>
      </c>
      <c r="B76" s="26" t="s">
        <v>528</v>
      </c>
      <c r="C76" s="28">
        <v>46004</v>
      </c>
      <c r="D76" s="26" t="s">
        <v>586</v>
      </c>
      <c r="E76" s="26">
        <v>201.27</v>
      </c>
      <c r="F76" s="26" t="s">
        <v>8</v>
      </c>
      <c r="G76" s="26">
        <v>201.27</v>
      </c>
      <c r="H76" s="26" t="s">
        <v>8</v>
      </c>
      <c r="I76" s="26" t="s">
        <v>587</v>
      </c>
      <c r="J76" s="26" t="s">
        <v>524</v>
      </c>
      <c r="K76" s="26">
        <v>527599</v>
      </c>
      <c r="L76" s="26">
        <v>38879</v>
      </c>
      <c r="M76" s="26" t="s">
        <v>525</v>
      </c>
      <c r="N76" s="31">
        <v>0.71062499999999995</v>
      </c>
      <c r="O76" s="32"/>
      <c r="P76" s="26" t="s">
        <v>526</v>
      </c>
      <c r="Q76" s="26" t="s">
        <v>527</v>
      </c>
      <c r="R76" s="32"/>
      <c r="S76" s="26" t="b">
        <v>0</v>
      </c>
      <c r="T76" s="32"/>
      <c r="U76" s="26" t="b">
        <v>1</v>
      </c>
    </row>
    <row r="77" spans="1:21" ht="16" x14ac:dyDescent="0.2">
      <c r="A77" s="25">
        <v>6982</v>
      </c>
      <c r="B77" s="26" t="s">
        <v>550</v>
      </c>
      <c r="C77" s="28">
        <v>46004</v>
      </c>
      <c r="D77" s="26" t="s">
        <v>608</v>
      </c>
      <c r="E77" s="26">
        <v>13.05</v>
      </c>
      <c r="F77" s="26" t="s">
        <v>8</v>
      </c>
      <c r="G77" s="26">
        <v>15</v>
      </c>
      <c r="H77" s="26" t="s">
        <v>534</v>
      </c>
      <c r="I77" s="26" t="s">
        <v>598</v>
      </c>
      <c r="J77" s="26" t="s">
        <v>524</v>
      </c>
      <c r="K77" s="26">
        <v>527601</v>
      </c>
      <c r="L77" s="26">
        <v>34704</v>
      </c>
      <c r="M77" s="26" t="s">
        <v>525</v>
      </c>
      <c r="N77" s="31">
        <v>0.49961805555555555</v>
      </c>
      <c r="O77" s="32"/>
      <c r="P77" s="26" t="s">
        <v>526</v>
      </c>
      <c r="Q77" s="26" t="s">
        <v>527</v>
      </c>
      <c r="R77" s="32"/>
      <c r="S77" s="26" t="b">
        <v>0</v>
      </c>
      <c r="T77" s="32"/>
      <c r="U77" s="26" t="b">
        <v>1</v>
      </c>
    </row>
    <row r="78" spans="1:21" ht="16" x14ac:dyDescent="0.2">
      <c r="A78" s="25">
        <v>6982</v>
      </c>
      <c r="B78" s="26" t="s">
        <v>521</v>
      </c>
      <c r="C78" s="28">
        <v>46003</v>
      </c>
      <c r="D78" s="30" t="s">
        <v>522</v>
      </c>
      <c r="E78" s="26">
        <v>13.99</v>
      </c>
      <c r="F78" s="26" t="s">
        <v>8</v>
      </c>
      <c r="G78" s="26">
        <v>13.99</v>
      </c>
      <c r="H78" s="26" t="s">
        <v>8</v>
      </c>
      <c r="I78" s="26" t="s">
        <v>523</v>
      </c>
      <c r="J78" s="26" t="s">
        <v>524</v>
      </c>
      <c r="K78" s="26">
        <v>527539</v>
      </c>
      <c r="L78" s="26">
        <v>4346</v>
      </c>
      <c r="M78" s="26" t="s">
        <v>525</v>
      </c>
      <c r="N78" s="31">
        <v>0.19381944444444443</v>
      </c>
      <c r="O78" s="32"/>
      <c r="P78" s="26" t="s">
        <v>526</v>
      </c>
      <c r="Q78" s="26" t="s">
        <v>527</v>
      </c>
      <c r="R78" s="32"/>
      <c r="S78" s="26" t="b">
        <v>0</v>
      </c>
      <c r="T78" s="32"/>
      <c r="U78" s="26" t="b">
        <v>1</v>
      </c>
    </row>
    <row r="79" spans="1:21" ht="16" x14ac:dyDescent="0.2">
      <c r="A79" s="25">
        <v>6982</v>
      </c>
      <c r="B79" s="26" t="s">
        <v>521</v>
      </c>
      <c r="C79" s="28">
        <v>46003</v>
      </c>
      <c r="D79" s="30" t="s">
        <v>522</v>
      </c>
      <c r="E79" s="26">
        <v>25.95</v>
      </c>
      <c r="F79" s="26" t="s">
        <v>8</v>
      </c>
      <c r="G79" s="26">
        <v>25.95</v>
      </c>
      <c r="H79" s="26" t="s">
        <v>8</v>
      </c>
      <c r="I79" s="26" t="s">
        <v>523</v>
      </c>
      <c r="J79" s="26" t="s">
        <v>524</v>
      </c>
      <c r="K79" s="26">
        <v>527539</v>
      </c>
      <c r="L79" s="26">
        <v>5583</v>
      </c>
      <c r="M79" s="26" t="s">
        <v>525</v>
      </c>
      <c r="N79" s="31">
        <v>0.22715277777777779</v>
      </c>
      <c r="O79" s="32"/>
      <c r="P79" s="26" t="s">
        <v>526</v>
      </c>
      <c r="Q79" s="26" t="s">
        <v>527</v>
      </c>
      <c r="R79" s="32"/>
      <c r="S79" s="26" t="b">
        <v>0</v>
      </c>
      <c r="T79" s="32"/>
      <c r="U79" s="26" t="b">
        <v>1</v>
      </c>
    </row>
    <row r="80" spans="1:21" ht="16" x14ac:dyDescent="0.2">
      <c r="A80" s="25">
        <v>6982</v>
      </c>
      <c r="B80" s="26" t="s">
        <v>521</v>
      </c>
      <c r="C80" s="28">
        <v>46003</v>
      </c>
      <c r="D80" s="30" t="s">
        <v>522</v>
      </c>
      <c r="E80" s="26">
        <v>4.91</v>
      </c>
      <c r="F80" s="26" t="s">
        <v>8</v>
      </c>
      <c r="G80" s="26">
        <v>4.91</v>
      </c>
      <c r="H80" s="26" t="s">
        <v>8</v>
      </c>
      <c r="I80" s="26" t="s">
        <v>523</v>
      </c>
      <c r="J80" s="26" t="s">
        <v>524</v>
      </c>
      <c r="K80" s="26">
        <v>527564</v>
      </c>
      <c r="L80" s="26">
        <v>17803</v>
      </c>
      <c r="M80" s="26" t="s">
        <v>525</v>
      </c>
      <c r="N80" s="31">
        <v>0.45520833333333338</v>
      </c>
      <c r="O80" s="32"/>
      <c r="P80" s="26" t="s">
        <v>526</v>
      </c>
      <c r="Q80" s="26" t="s">
        <v>527</v>
      </c>
      <c r="R80" s="32"/>
      <c r="S80" s="26" t="b">
        <v>0</v>
      </c>
      <c r="T80" s="32"/>
      <c r="U80" s="26" t="b">
        <v>1</v>
      </c>
    </row>
    <row r="81" spans="1:21" ht="16" x14ac:dyDescent="0.2">
      <c r="A81" s="25">
        <v>6982</v>
      </c>
      <c r="B81" s="26" t="s">
        <v>528</v>
      </c>
      <c r="C81" s="28">
        <v>46003</v>
      </c>
      <c r="D81" s="26" t="s">
        <v>609</v>
      </c>
      <c r="E81" s="26">
        <v>13.4</v>
      </c>
      <c r="F81" s="26" t="s">
        <v>8</v>
      </c>
      <c r="G81" s="26">
        <v>13.4</v>
      </c>
      <c r="H81" s="26" t="s">
        <v>8</v>
      </c>
      <c r="I81" s="26" t="s">
        <v>530</v>
      </c>
      <c r="J81" s="26" t="s">
        <v>524</v>
      </c>
      <c r="K81" s="26">
        <v>527564</v>
      </c>
      <c r="L81" s="26">
        <v>64960</v>
      </c>
      <c r="M81" s="26" t="s">
        <v>554</v>
      </c>
      <c r="N81" s="31">
        <v>0.56628472222222226</v>
      </c>
      <c r="O81" s="26" t="s">
        <v>531</v>
      </c>
      <c r="P81" s="26" t="s">
        <v>526</v>
      </c>
      <c r="Q81" s="26" t="s">
        <v>527</v>
      </c>
      <c r="R81" s="32"/>
      <c r="S81" s="26" t="b">
        <v>0</v>
      </c>
      <c r="T81" s="32"/>
      <c r="U81" s="26" t="b">
        <v>1</v>
      </c>
    </row>
    <row r="82" spans="1:21" ht="16" x14ac:dyDescent="0.2">
      <c r="A82" s="25">
        <v>6982</v>
      </c>
      <c r="B82" s="26" t="s">
        <v>528</v>
      </c>
      <c r="C82" s="28">
        <v>46003</v>
      </c>
      <c r="D82" s="26" t="s">
        <v>610</v>
      </c>
      <c r="E82" s="26">
        <v>14</v>
      </c>
      <c r="F82" s="26" t="s">
        <v>8</v>
      </c>
      <c r="G82" s="26">
        <v>14</v>
      </c>
      <c r="H82" s="26" t="s">
        <v>8</v>
      </c>
      <c r="I82" s="26" t="s">
        <v>600</v>
      </c>
      <c r="J82" s="26" t="s">
        <v>524</v>
      </c>
      <c r="K82" s="26">
        <v>527567</v>
      </c>
      <c r="L82" s="26">
        <v>3766</v>
      </c>
      <c r="M82" s="26" t="s">
        <v>554</v>
      </c>
      <c r="N82" s="31">
        <v>0.65896990740740746</v>
      </c>
      <c r="O82" s="26" t="s">
        <v>531</v>
      </c>
      <c r="P82" s="26" t="s">
        <v>526</v>
      </c>
      <c r="Q82" s="26" t="s">
        <v>527</v>
      </c>
      <c r="R82" s="32"/>
      <c r="S82" s="26" t="b">
        <v>0</v>
      </c>
      <c r="T82" s="32"/>
      <c r="U82" s="26" t="b">
        <v>1</v>
      </c>
    </row>
    <row r="83" spans="1:21" ht="16" x14ac:dyDescent="0.2">
      <c r="A83" s="25">
        <v>6982</v>
      </c>
      <c r="B83" s="26" t="s">
        <v>528</v>
      </c>
      <c r="C83" s="28">
        <v>46003</v>
      </c>
      <c r="D83" s="26" t="s">
        <v>611</v>
      </c>
      <c r="E83" s="26">
        <v>76.5</v>
      </c>
      <c r="F83" s="26" t="s">
        <v>8</v>
      </c>
      <c r="G83" s="26">
        <v>76.5</v>
      </c>
      <c r="H83" s="26" t="s">
        <v>8</v>
      </c>
      <c r="I83" s="26" t="s">
        <v>600</v>
      </c>
      <c r="J83" s="26" t="s">
        <v>524</v>
      </c>
      <c r="K83" s="26">
        <v>527570</v>
      </c>
      <c r="L83" s="26">
        <v>52923</v>
      </c>
      <c r="M83" s="26" t="s">
        <v>554</v>
      </c>
      <c r="N83" s="31">
        <v>0.81252314814814808</v>
      </c>
      <c r="O83" s="26" t="s">
        <v>531</v>
      </c>
      <c r="P83" s="26" t="s">
        <v>526</v>
      </c>
      <c r="Q83" s="26" t="s">
        <v>527</v>
      </c>
      <c r="R83" s="32"/>
      <c r="S83" s="26" t="b">
        <v>0</v>
      </c>
      <c r="T83" s="32"/>
      <c r="U83" s="26" t="b">
        <v>1</v>
      </c>
    </row>
    <row r="84" spans="1:21" ht="16" x14ac:dyDescent="0.2">
      <c r="A84" s="25">
        <v>6982</v>
      </c>
      <c r="B84" s="26" t="s">
        <v>528</v>
      </c>
      <c r="C84" s="28">
        <v>46002</v>
      </c>
      <c r="D84" s="26" t="s">
        <v>529</v>
      </c>
      <c r="E84" s="26">
        <v>10.43</v>
      </c>
      <c r="F84" s="26" t="s">
        <v>8</v>
      </c>
      <c r="G84" s="26">
        <v>10.43</v>
      </c>
      <c r="H84" s="26" t="s">
        <v>8</v>
      </c>
      <c r="I84" s="26" t="s">
        <v>530</v>
      </c>
      <c r="J84" s="26" t="s">
        <v>524</v>
      </c>
      <c r="K84" s="26">
        <v>527489</v>
      </c>
      <c r="L84" s="26">
        <v>37812</v>
      </c>
      <c r="M84" s="26" t="s">
        <v>525</v>
      </c>
      <c r="N84" s="31">
        <v>0.24616898148148147</v>
      </c>
      <c r="O84" s="26" t="s">
        <v>531</v>
      </c>
      <c r="P84" s="26" t="s">
        <v>526</v>
      </c>
      <c r="Q84" s="26" t="s">
        <v>527</v>
      </c>
      <c r="R84" s="32"/>
      <c r="S84" s="26" t="b">
        <v>0</v>
      </c>
      <c r="T84" s="32"/>
      <c r="U84" s="26" t="b">
        <v>1</v>
      </c>
    </row>
    <row r="85" spans="1:21" ht="16" x14ac:dyDescent="0.2">
      <c r="A85" s="25">
        <v>6982</v>
      </c>
      <c r="B85" s="26" t="s">
        <v>550</v>
      </c>
      <c r="C85" s="28">
        <v>46002</v>
      </c>
      <c r="D85" s="26" t="s">
        <v>612</v>
      </c>
      <c r="E85" s="26">
        <v>17.559999999999999</v>
      </c>
      <c r="F85" s="26" t="s">
        <v>8</v>
      </c>
      <c r="G85" s="26">
        <v>20</v>
      </c>
      <c r="H85" s="26" t="s">
        <v>534</v>
      </c>
      <c r="I85" s="26" t="s">
        <v>535</v>
      </c>
      <c r="J85" s="26" t="s">
        <v>524</v>
      </c>
      <c r="K85" s="26">
        <v>527502</v>
      </c>
      <c r="L85" s="26">
        <v>8849</v>
      </c>
      <c r="M85" s="26" t="s">
        <v>525</v>
      </c>
      <c r="N85" s="31">
        <v>0.38806712962962964</v>
      </c>
      <c r="O85" s="32"/>
      <c r="P85" s="26" t="s">
        <v>526</v>
      </c>
      <c r="Q85" s="26" t="s">
        <v>527</v>
      </c>
      <c r="R85" s="32"/>
      <c r="S85" s="26" t="b">
        <v>0</v>
      </c>
      <c r="T85" s="32"/>
      <c r="U85" s="26" t="b">
        <v>1</v>
      </c>
    </row>
    <row r="86" spans="1:21" ht="16" x14ac:dyDescent="0.2">
      <c r="A86" s="25">
        <v>6982</v>
      </c>
      <c r="B86" s="26" t="s">
        <v>528</v>
      </c>
      <c r="C86" s="28">
        <v>46002</v>
      </c>
      <c r="D86" s="26" t="s">
        <v>613</v>
      </c>
      <c r="E86" s="26">
        <v>71.099999999999994</v>
      </c>
      <c r="F86" s="26" t="s">
        <v>8</v>
      </c>
      <c r="G86" s="26">
        <v>71.099999999999994</v>
      </c>
      <c r="H86" s="26" t="s">
        <v>8</v>
      </c>
      <c r="I86" s="26" t="s">
        <v>614</v>
      </c>
      <c r="J86" s="26" t="s">
        <v>524</v>
      </c>
      <c r="K86" s="26">
        <v>527522</v>
      </c>
      <c r="L86" s="26">
        <v>49876</v>
      </c>
      <c r="M86" s="26" t="s">
        <v>525</v>
      </c>
      <c r="N86" s="31">
        <v>0.6617939814814815</v>
      </c>
      <c r="O86" s="26" t="s">
        <v>531</v>
      </c>
      <c r="P86" s="26" t="s">
        <v>526</v>
      </c>
      <c r="Q86" s="26" t="s">
        <v>527</v>
      </c>
      <c r="R86" s="32"/>
      <c r="S86" s="26" t="b">
        <v>0</v>
      </c>
      <c r="T86" s="32"/>
      <c r="U86" s="26" t="b">
        <v>1</v>
      </c>
    </row>
    <row r="87" spans="1:21" ht="16" x14ac:dyDescent="0.2">
      <c r="A87" s="25">
        <v>6982</v>
      </c>
      <c r="B87" s="26" t="s">
        <v>583</v>
      </c>
      <c r="C87" s="28">
        <v>46002</v>
      </c>
      <c r="D87" s="26" t="s">
        <v>615</v>
      </c>
      <c r="E87" s="26">
        <v>11.99</v>
      </c>
      <c r="F87" s="26" t="s">
        <v>8</v>
      </c>
      <c r="G87" s="26">
        <v>11.99</v>
      </c>
      <c r="H87" s="26" t="s">
        <v>8</v>
      </c>
      <c r="I87" s="26" t="s">
        <v>565</v>
      </c>
      <c r="J87" s="26" t="s">
        <v>524</v>
      </c>
      <c r="K87" s="26">
        <v>527522</v>
      </c>
      <c r="L87" s="26">
        <v>52046</v>
      </c>
      <c r="M87" s="26" t="s">
        <v>525</v>
      </c>
      <c r="N87" s="31">
        <v>0.80813657407407413</v>
      </c>
      <c r="O87" s="32"/>
      <c r="P87" s="26" t="s">
        <v>526</v>
      </c>
      <c r="Q87" s="26" t="s">
        <v>527</v>
      </c>
      <c r="R87" s="32"/>
      <c r="S87" s="26" t="b">
        <v>0</v>
      </c>
      <c r="T87" s="32"/>
      <c r="U87" s="26" t="b">
        <v>1</v>
      </c>
    </row>
    <row r="88" spans="1:21" ht="16" x14ac:dyDescent="0.2">
      <c r="A88" s="25">
        <v>6982</v>
      </c>
      <c r="B88" s="26" t="s">
        <v>528</v>
      </c>
      <c r="C88" s="28">
        <v>46002</v>
      </c>
      <c r="D88" s="26" t="s">
        <v>616</v>
      </c>
      <c r="E88" s="26">
        <v>7.5</v>
      </c>
      <c r="F88" s="26" t="s">
        <v>8</v>
      </c>
      <c r="G88" s="26">
        <v>7.5</v>
      </c>
      <c r="H88" s="26" t="s">
        <v>8</v>
      </c>
      <c r="I88" s="26" t="s">
        <v>530</v>
      </c>
      <c r="J88" s="26" t="s">
        <v>524</v>
      </c>
      <c r="K88" s="26">
        <v>527529</v>
      </c>
      <c r="L88" s="26">
        <v>33611</v>
      </c>
      <c r="M88" s="26" t="s">
        <v>554</v>
      </c>
      <c r="N88" s="31">
        <v>0.63500000000000001</v>
      </c>
      <c r="O88" s="26" t="s">
        <v>531</v>
      </c>
      <c r="P88" s="26" t="s">
        <v>526</v>
      </c>
      <c r="Q88" s="26" t="s">
        <v>527</v>
      </c>
      <c r="R88" s="32"/>
      <c r="S88" s="26" t="b">
        <v>0</v>
      </c>
      <c r="T88" s="32"/>
      <c r="U88" s="26" t="b">
        <v>1</v>
      </c>
    </row>
    <row r="89" spans="1:21" ht="16" x14ac:dyDescent="0.2">
      <c r="A89" s="25">
        <v>6982</v>
      </c>
      <c r="B89" s="26" t="s">
        <v>521</v>
      </c>
      <c r="C89" s="28">
        <v>46001</v>
      </c>
      <c r="D89" s="30" t="s">
        <v>522</v>
      </c>
      <c r="E89" s="26">
        <v>14.99</v>
      </c>
      <c r="F89" s="26" t="s">
        <v>8</v>
      </c>
      <c r="G89" s="26">
        <v>14.99</v>
      </c>
      <c r="H89" s="26" t="s">
        <v>8</v>
      </c>
      <c r="I89" s="26" t="s">
        <v>523</v>
      </c>
      <c r="J89" s="26" t="s">
        <v>524</v>
      </c>
      <c r="K89" s="26">
        <v>527459</v>
      </c>
      <c r="L89" s="26">
        <v>1327</v>
      </c>
      <c r="M89" s="26" t="s">
        <v>525</v>
      </c>
      <c r="N89" s="31">
        <v>9.2442129629629624E-2</v>
      </c>
      <c r="O89" s="26" t="s">
        <v>531</v>
      </c>
      <c r="P89" s="26" t="s">
        <v>526</v>
      </c>
      <c r="Q89" s="26" t="s">
        <v>527</v>
      </c>
      <c r="R89" s="32"/>
      <c r="S89" s="26" t="b">
        <v>0</v>
      </c>
      <c r="T89" s="32"/>
      <c r="U89" s="26" t="b">
        <v>1</v>
      </c>
    </row>
    <row r="90" spans="1:21" ht="16" x14ac:dyDescent="0.2">
      <c r="A90" s="25">
        <v>6982</v>
      </c>
      <c r="B90" s="26" t="s">
        <v>521</v>
      </c>
      <c r="C90" s="28">
        <v>46001</v>
      </c>
      <c r="D90" s="30" t="s">
        <v>522</v>
      </c>
      <c r="E90" s="26">
        <v>2.99</v>
      </c>
      <c r="F90" s="26" t="s">
        <v>8</v>
      </c>
      <c r="G90" s="26">
        <v>2.99</v>
      </c>
      <c r="H90" s="26" t="s">
        <v>8</v>
      </c>
      <c r="I90" s="26" t="s">
        <v>523</v>
      </c>
      <c r="J90" s="26" t="s">
        <v>524</v>
      </c>
      <c r="K90" s="26">
        <v>527459</v>
      </c>
      <c r="L90" s="26">
        <v>3823</v>
      </c>
      <c r="M90" s="26" t="s">
        <v>525</v>
      </c>
      <c r="N90" s="31">
        <v>0.18386574074074072</v>
      </c>
      <c r="O90" s="32"/>
      <c r="P90" s="26" t="s">
        <v>526</v>
      </c>
      <c r="Q90" s="26" t="s">
        <v>527</v>
      </c>
      <c r="R90" s="32"/>
      <c r="S90" s="26" t="b">
        <v>0</v>
      </c>
      <c r="T90" s="32"/>
      <c r="U90" s="26" t="b">
        <v>1</v>
      </c>
    </row>
    <row r="91" spans="1:21" ht="16" x14ac:dyDescent="0.2">
      <c r="A91" s="25">
        <v>6982</v>
      </c>
      <c r="B91" s="26" t="s">
        <v>521</v>
      </c>
      <c r="C91" s="28">
        <v>46000</v>
      </c>
      <c r="D91" s="30" t="s">
        <v>522</v>
      </c>
      <c r="E91" s="26">
        <v>7.99</v>
      </c>
      <c r="F91" s="26" t="s">
        <v>8</v>
      </c>
      <c r="G91" s="26">
        <v>7.99</v>
      </c>
      <c r="H91" s="26" t="s">
        <v>8</v>
      </c>
      <c r="I91" s="26" t="s">
        <v>523</v>
      </c>
      <c r="J91" s="26" t="s">
        <v>524</v>
      </c>
      <c r="K91" s="26">
        <v>527442</v>
      </c>
      <c r="L91" s="26">
        <v>17380</v>
      </c>
      <c r="M91" s="26" t="s">
        <v>525</v>
      </c>
      <c r="N91" s="31">
        <v>0.45333333333333337</v>
      </c>
      <c r="O91" s="26" t="s">
        <v>531</v>
      </c>
      <c r="P91" s="26" t="s">
        <v>526</v>
      </c>
      <c r="Q91" s="26" t="s">
        <v>527</v>
      </c>
      <c r="R91" s="32"/>
      <c r="S91" s="26" t="b">
        <v>0</v>
      </c>
      <c r="T91" s="32"/>
      <c r="U91" s="26" t="b">
        <v>1</v>
      </c>
    </row>
    <row r="92" spans="1:21" ht="16" x14ac:dyDescent="0.2">
      <c r="A92" s="25">
        <v>6982</v>
      </c>
      <c r="B92" s="26" t="s">
        <v>550</v>
      </c>
      <c r="C92" s="28">
        <v>46000</v>
      </c>
      <c r="D92" s="26" t="s">
        <v>617</v>
      </c>
      <c r="E92" s="26">
        <v>10.53</v>
      </c>
      <c r="F92" s="26" t="s">
        <v>8</v>
      </c>
      <c r="G92" s="26">
        <v>12</v>
      </c>
      <c r="H92" s="26" t="s">
        <v>534</v>
      </c>
      <c r="I92" s="26" t="s">
        <v>575</v>
      </c>
      <c r="J92" s="26" t="s">
        <v>524</v>
      </c>
      <c r="K92" s="26">
        <v>527442</v>
      </c>
      <c r="L92" s="26">
        <v>80803</v>
      </c>
      <c r="M92" s="26" t="s">
        <v>525</v>
      </c>
      <c r="N92" s="31">
        <v>0.84891203703703699</v>
      </c>
      <c r="O92" s="32"/>
      <c r="P92" s="26" t="s">
        <v>526</v>
      </c>
      <c r="Q92" s="26" t="s">
        <v>527</v>
      </c>
      <c r="R92" s="32"/>
      <c r="S92" s="26" t="b">
        <v>0</v>
      </c>
      <c r="T92" s="32"/>
      <c r="U92" s="26" t="b">
        <v>1</v>
      </c>
    </row>
    <row r="93" spans="1:21" ht="16" x14ac:dyDescent="0.2">
      <c r="A93" s="25">
        <v>6982</v>
      </c>
      <c r="B93" s="26" t="s">
        <v>521</v>
      </c>
      <c r="C93" s="28">
        <v>45999</v>
      </c>
      <c r="D93" s="30" t="s">
        <v>522</v>
      </c>
      <c r="E93" s="26">
        <v>29.99</v>
      </c>
      <c r="F93" s="26" t="s">
        <v>8</v>
      </c>
      <c r="G93" s="26">
        <v>29.99</v>
      </c>
      <c r="H93" s="26" t="s">
        <v>8</v>
      </c>
      <c r="I93" s="26" t="s">
        <v>523</v>
      </c>
      <c r="J93" s="26" t="s">
        <v>524</v>
      </c>
      <c r="K93" s="26">
        <v>527400</v>
      </c>
      <c r="L93" s="26">
        <v>11512</v>
      </c>
      <c r="M93" s="26" t="s">
        <v>525</v>
      </c>
      <c r="N93" s="31">
        <v>0.34208333333333335</v>
      </c>
      <c r="O93" s="26" t="s">
        <v>531</v>
      </c>
      <c r="P93" s="26" t="s">
        <v>526</v>
      </c>
      <c r="Q93" s="26" t="s">
        <v>527</v>
      </c>
      <c r="R93" s="32"/>
      <c r="S93" s="26" t="b">
        <v>0</v>
      </c>
      <c r="T93" s="32"/>
      <c r="U93" s="26" t="b">
        <v>1</v>
      </c>
    </row>
    <row r="94" spans="1:21" ht="16" x14ac:dyDescent="0.2">
      <c r="A94" s="25">
        <v>6982</v>
      </c>
      <c r="B94" s="26" t="s">
        <v>583</v>
      </c>
      <c r="C94" s="28">
        <v>45999</v>
      </c>
      <c r="D94" s="26" t="s">
        <v>618</v>
      </c>
      <c r="E94" s="26">
        <v>28.09</v>
      </c>
      <c r="F94" s="26" t="s">
        <v>8</v>
      </c>
      <c r="G94" s="26">
        <v>28.09</v>
      </c>
      <c r="H94" s="26" t="s">
        <v>8</v>
      </c>
      <c r="I94" s="26" t="s">
        <v>565</v>
      </c>
      <c r="J94" s="26" t="s">
        <v>524</v>
      </c>
      <c r="K94" s="26">
        <v>527400</v>
      </c>
      <c r="L94" s="26">
        <v>52186</v>
      </c>
      <c r="M94" s="26" t="s">
        <v>525</v>
      </c>
      <c r="N94" s="31">
        <v>0.81806712962962969</v>
      </c>
      <c r="O94" s="32"/>
      <c r="P94" s="26" t="s">
        <v>526</v>
      </c>
      <c r="Q94" s="26" t="s">
        <v>527</v>
      </c>
      <c r="R94" s="32"/>
      <c r="S94" s="26" t="b">
        <v>0</v>
      </c>
      <c r="T94" s="32"/>
      <c r="U94" s="26" t="b">
        <v>1</v>
      </c>
    </row>
    <row r="95" spans="1:21" ht="16" x14ac:dyDescent="0.2">
      <c r="A95" s="25">
        <v>6982</v>
      </c>
      <c r="B95" s="26" t="s">
        <v>550</v>
      </c>
      <c r="C95" s="28">
        <v>45998</v>
      </c>
      <c r="D95" s="26" t="s">
        <v>619</v>
      </c>
      <c r="E95" s="26">
        <v>6.76</v>
      </c>
      <c r="F95" s="26" t="s">
        <v>8</v>
      </c>
      <c r="G95" s="26">
        <v>7.71</v>
      </c>
      <c r="H95" s="26" t="s">
        <v>534</v>
      </c>
      <c r="I95" s="26" t="s">
        <v>535</v>
      </c>
      <c r="J95" s="26" t="s">
        <v>524</v>
      </c>
      <c r="K95" s="26">
        <v>527350</v>
      </c>
      <c r="L95" s="26">
        <v>11162</v>
      </c>
      <c r="M95" s="26" t="s">
        <v>525</v>
      </c>
      <c r="N95" s="31">
        <v>0.4150578703703704</v>
      </c>
      <c r="O95" s="32"/>
      <c r="P95" s="26" t="s">
        <v>526</v>
      </c>
      <c r="Q95" s="26" t="s">
        <v>527</v>
      </c>
      <c r="R95" s="32"/>
      <c r="S95" s="26" t="b">
        <v>0</v>
      </c>
      <c r="T95" s="32"/>
      <c r="U95" s="26" t="b">
        <v>1</v>
      </c>
    </row>
    <row r="96" spans="1:21" ht="16" x14ac:dyDescent="0.2">
      <c r="A96" s="25">
        <v>6982</v>
      </c>
      <c r="B96" s="26" t="s">
        <v>528</v>
      </c>
      <c r="C96" s="28">
        <v>45998</v>
      </c>
      <c r="D96" s="26" t="s">
        <v>586</v>
      </c>
      <c r="E96" s="26">
        <v>203.18</v>
      </c>
      <c r="F96" s="26" t="s">
        <v>8</v>
      </c>
      <c r="G96" s="26">
        <v>203.18</v>
      </c>
      <c r="H96" s="26" t="s">
        <v>8</v>
      </c>
      <c r="I96" s="26" t="s">
        <v>587</v>
      </c>
      <c r="J96" s="26" t="s">
        <v>524</v>
      </c>
      <c r="K96" s="26">
        <v>527360</v>
      </c>
      <c r="L96" s="26">
        <v>52885</v>
      </c>
      <c r="M96" s="26" t="s">
        <v>525</v>
      </c>
      <c r="N96" s="31">
        <v>0.72606481481481477</v>
      </c>
      <c r="O96" s="32"/>
      <c r="P96" s="26" t="s">
        <v>526</v>
      </c>
      <c r="Q96" s="26" t="s">
        <v>527</v>
      </c>
      <c r="R96" s="32"/>
      <c r="S96" s="26" t="b">
        <v>0</v>
      </c>
      <c r="T96" s="32"/>
      <c r="U96" s="26" t="b">
        <v>1</v>
      </c>
    </row>
    <row r="97" spans="1:21" ht="16" x14ac:dyDescent="0.2">
      <c r="A97" s="25">
        <v>6982</v>
      </c>
      <c r="B97" s="26" t="s">
        <v>583</v>
      </c>
      <c r="C97" s="28">
        <v>45998</v>
      </c>
      <c r="D97" s="26" t="s">
        <v>620</v>
      </c>
      <c r="E97" s="26">
        <v>1.99</v>
      </c>
      <c r="F97" s="26" t="s">
        <v>8</v>
      </c>
      <c r="G97" s="26">
        <v>1.99</v>
      </c>
      <c r="H97" s="26" t="s">
        <v>8</v>
      </c>
      <c r="I97" s="26" t="s">
        <v>565</v>
      </c>
      <c r="J97" s="26" t="s">
        <v>524</v>
      </c>
      <c r="K97" s="26">
        <v>527360</v>
      </c>
      <c r="L97" s="26">
        <v>61207</v>
      </c>
      <c r="M97" s="26" t="s">
        <v>525</v>
      </c>
      <c r="N97" s="31">
        <v>0.68270833333333336</v>
      </c>
      <c r="O97" s="32"/>
      <c r="P97" s="26" t="s">
        <v>526</v>
      </c>
      <c r="Q97" s="26" t="s">
        <v>527</v>
      </c>
      <c r="R97" s="32"/>
      <c r="S97" s="26" t="b">
        <v>0</v>
      </c>
      <c r="T97" s="32"/>
      <c r="U97" s="26" t="b">
        <v>1</v>
      </c>
    </row>
    <row r="98" spans="1:21" ht="16" x14ac:dyDescent="0.2">
      <c r="A98" s="25">
        <v>6982</v>
      </c>
      <c r="B98" s="26" t="s">
        <v>521</v>
      </c>
      <c r="C98" s="28">
        <v>45998</v>
      </c>
      <c r="D98" s="30" t="s">
        <v>522</v>
      </c>
      <c r="E98" s="26">
        <v>10.99</v>
      </c>
      <c r="F98" s="26" t="s">
        <v>8</v>
      </c>
      <c r="G98" s="26">
        <v>10.99</v>
      </c>
      <c r="H98" s="26" t="s">
        <v>8</v>
      </c>
      <c r="I98" s="26" t="s">
        <v>523</v>
      </c>
      <c r="J98" s="26" t="s">
        <v>524</v>
      </c>
      <c r="K98" s="26">
        <v>527363</v>
      </c>
      <c r="L98" s="26">
        <v>6127</v>
      </c>
      <c r="M98" s="26" t="s">
        <v>525</v>
      </c>
      <c r="N98" s="31">
        <v>6.8634259259259256E-3</v>
      </c>
      <c r="O98" s="26" t="s">
        <v>531</v>
      </c>
      <c r="P98" s="26" t="s">
        <v>526</v>
      </c>
      <c r="Q98" s="26" t="s">
        <v>527</v>
      </c>
      <c r="R98" s="32"/>
      <c r="S98" s="26" t="b">
        <v>0</v>
      </c>
      <c r="T98" s="32"/>
      <c r="U98" s="26" t="b">
        <v>1</v>
      </c>
    </row>
    <row r="99" spans="1:21" ht="16" x14ac:dyDescent="0.2">
      <c r="A99" s="25">
        <v>6982</v>
      </c>
      <c r="B99" s="26" t="s">
        <v>550</v>
      </c>
      <c r="C99" s="28">
        <v>45998</v>
      </c>
      <c r="D99" s="26" t="s">
        <v>621</v>
      </c>
      <c r="E99" s="26">
        <v>16.66</v>
      </c>
      <c r="F99" s="26" t="s">
        <v>8</v>
      </c>
      <c r="G99" s="26">
        <v>19</v>
      </c>
      <c r="H99" s="26" t="s">
        <v>534</v>
      </c>
      <c r="I99" s="26" t="s">
        <v>575</v>
      </c>
      <c r="J99" s="26" t="s">
        <v>524</v>
      </c>
      <c r="K99" s="26">
        <v>527381</v>
      </c>
      <c r="L99" s="26">
        <v>19337</v>
      </c>
      <c r="M99" s="26" t="s">
        <v>525</v>
      </c>
      <c r="N99" s="31">
        <v>5.3124999999999999E-2</v>
      </c>
      <c r="O99" s="32"/>
      <c r="P99" s="26" t="s">
        <v>526</v>
      </c>
      <c r="Q99" s="26" t="s">
        <v>527</v>
      </c>
      <c r="R99" s="32"/>
      <c r="S99" s="26" t="b">
        <v>0</v>
      </c>
      <c r="T99" s="32"/>
      <c r="U99" s="26" t="b">
        <v>1</v>
      </c>
    </row>
    <row r="100" spans="1:21" ht="16" x14ac:dyDescent="0.2">
      <c r="A100" s="25">
        <v>6982</v>
      </c>
      <c r="B100" s="26" t="s">
        <v>583</v>
      </c>
      <c r="C100" s="28">
        <v>45997</v>
      </c>
      <c r="D100" s="26" t="s">
        <v>622</v>
      </c>
      <c r="E100" s="26">
        <v>11.99</v>
      </c>
      <c r="F100" s="26" t="s">
        <v>8</v>
      </c>
      <c r="G100" s="26">
        <v>11.99</v>
      </c>
      <c r="H100" s="26" t="s">
        <v>8</v>
      </c>
      <c r="I100" s="26" t="s">
        <v>565</v>
      </c>
      <c r="J100" s="26" t="s">
        <v>524</v>
      </c>
      <c r="K100" s="26">
        <v>527328</v>
      </c>
      <c r="L100" s="26">
        <v>48218</v>
      </c>
      <c r="M100" s="26" t="s">
        <v>525</v>
      </c>
      <c r="N100" s="31">
        <v>0.78148148148148155</v>
      </c>
      <c r="O100" s="32"/>
      <c r="P100" s="26" t="s">
        <v>526</v>
      </c>
      <c r="Q100" s="26" t="s">
        <v>527</v>
      </c>
      <c r="R100" s="32"/>
      <c r="S100" s="26" t="b">
        <v>0</v>
      </c>
      <c r="T100" s="32"/>
      <c r="U100" s="26" t="b">
        <v>1</v>
      </c>
    </row>
    <row r="101" spans="1:21" ht="16" x14ac:dyDescent="0.2">
      <c r="A101" s="25">
        <v>6982</v>
      </c>
      <c r="B101" s="26" t="s">
        <v>528</v>
      </c>
      <c r="C101" s="28">
        <v>45996</v>
      </c>
      <c r="D101" s="26" t="s">
        <v>529</v>
      </c>
      <c r="E101" s="26">
        <v>8.1</v>
      </c>
      <c r="F101" s="26" t="s">
        <v>8</v>
      </c>
      <c r="G101" s="26">
        <v>8.1</v>
      </c>
      <c r="H101" s="26" t="s">
        <v>8</v>
      </c>
      <c r="I101" s="26" t="s">
        <v>530</v>
      </c>
      <c r="J101" s="26" t="s">
        <v>524</v>
      </c>
      <c r="K101" s="26">
        <v>527256</v>
      </c>
      <c r="L101" s="26">
        <v>22451</v>
      </c>
      <c r="M101" s="26" t="s">
        <v>525</v>
      </c>
      <c r="N101" s="31">
        <v>0.20936342592592594</v>
      </c>
      <c r="O101" s="26" t="s">
        <v>531</v>
      </c>
      <c r="P101" s="26" t="s">
        <v>526</v>
      </c>
      <c r="Q101" s="26" t="s">
        <v>527</v>
      </c>
      <c r="R101" s="32"/>
      <c r="S101" s="26" t="b">
        <v>0</v>
      </c>
      <c r="T101" s="32"/>
      <c r="U101" s="26" t="b">
        <v>1</v>
      </c>
    </row>
    <row r="102" spans="1:21" ht="16" x14ac:dyDescent="0.2">
      <c r="A102" s="25">
        <v>6982</v>
      </c>
      <c r="B102" s="26" t="s">
        <v>550</v>
      </c>
      <c r="C102" s="28">
        <v>45996</v>
      </c>
      <c r="D102" s="26" t="s">
        <v>623</v>
      </c>
      <c r="E102" s="26">
        <v>18.64</v>
      </c>
      <c r="F102" s="26" t="s">
        <v>8</v>
      </c>
      <c r="G102" s="26">
        <v>21.3</v>
      </c>
      <c r="H102" s="26" t="s">
        <v>534</v>
      </c>
      <c r="I102" s="26" t="s">
        <v>535</v>
      </c>
      <c r="J102" s="26" t="s">
        <v>524</v>
      </c>
      <c r="K102" s="26">
        <v>527277</v>
      </c>
      <c r="L102" s="26">
        <v>9606</v>
      </c>
      <c r="M102" s="26" t="s">
        <v>525</v>
      </c>
      <c r="N102" s="31">
        <v>0.4365046296296296</v>
      </c>
      <c r="O102" s="32"/>
      <c r="P102" s="26" t="s">
        <v>526</v>
      </c>
      <c r="Q102" s="26" t="s">
        <v>527</v>
      </c>
      <c r="R102" s="32"/>
      <c r="S102" s="26" t="b">
        <v>0</v>
      </c>
      <c r="T102" s="32"/>
      <c r="U102" s="26" t="b">
        <v>1</v>
      </c>
    </row>
    <row r="103" spans="1:21" ht="16" x14ac:dyDescent="0.2">
      <c r="A103" s="25">
        <v>6982</v>
      </c>
      <c r="B103" s="26" t="s">
        <v>550</v>
      </c>
      <c r="C103" s="28">
        <v>45996</v>
      </c>
      <c r="D103" s="26" t="s">
        <v>555</v>
      </c>
      <c r="E103" s="26">
        <v>16.66</v>
      </c>
      <c r="F103" s="26" t="s">
        <v>8</v>
      </c>
      <c r="G103" s="26">
        <v>19</v>
      </c>
      <c r="H103" s="26" t="s">
        <v>534</v>
      </c>
      <c r="I103" s="26" t="s">
        <v>535</v>
      </c>
      <c r="J103" s="26" t="s">
        <v>524</v>
      </c>
      <c r="K103" s="26">
        <v>527316</v>
      </c>
      <c r="L103" s="26">
        <v>11928</v>
      </c>
      <c r="M103" s="26" t="s">
        <v>525</v>
      </c>
      <c r="N103" s="31">
        <v>5.5104166666666669E-2</v>
      </c>
      <c r="O103" s="32"/>
      <c r="P103" s="26" t="s">
        <v>526</v>
      </c>
      <c r="Q103" s="26" t="s">
        <v>527</v>
      </c>
      <c r="R103" s="32"/>
      <c r="S103" s="26" t="b">
        <v>0</v>
      </c>
      <c r="T103" s="32"/>
      <c r="U103" s="26" t="b">
        <v>1</v>
      </c>
    </row>
    <row r="104" spans="1:21" ht="16" x14ac:dyDescent="0.2">
      <c r="A104" s="25">
        <v>6982</v>
      </c>
      <c r="B104" s="26" t="s">
        <v>528</v>
      </c>
      <c r="C104" s="28">
        <v>45995</v>
      </c>
      <c r="D104" s="26" t="s">
        <v>529</v>
      </c>
      <c r="E104" s="26">
        <v>1.35</v>
      </c>
      <c r="F104" s="26" t="s">
        <v>8</v>
      </c>
      <c r="G104" s="26">
        <v>1.35</v>
      </c>
      <c r="H104" s="26" t="s">
        <v>8</v>
      </c>
      <c r="I104" s="26" t="s">
        <v>530</v>
      </c>
      <c r="J104" s="26" t="s">
        <v>524</v>
      </c>
      <c r="K104" s="26">
        <v>527215</v>
      </c>
      <c r="L104" s="26">
        <v>35454</v>
      </c>
      <c r="M104" s="26" t="s">
        <v>525</v>
      </c>
      <c r="N104" s="31">
        <v>0.22365740740740739</v>
      </c>
      <c r="O104" s="26" t="s">
        <v>531</v>
      </c>
      <c r="P104" s="26" t="s">
        <v>526</v>
      </c>
      <c r="Q104" s="26" t="s">
        <v>527</v>
      </c>
      <c r="R104" s="32"/>
      <c r="S104" s="26" t="b">
        <v>0</v>
      </c>
      <c r="T104" s="32"/>
      <c r="U104" s="26" t="b">
        <v>1</v>
      </c>
    </row>
    <row r="105" spans="1:21" ht="16" x14ac:dyDescent="0.2">
      <c r="A105" s="25">
        <v>6982</v>
      </c>
      <c r="B105" s="26" t="s">
        <v>521</v>
      </c>
      <c r="C105" s="28">
        <v>45995</v>
      </c>
      <c r="D105" s="26" t="s">
        <v>624</v>
      </c>
      <c r="E105" s="26">
        <v>22</v>
      </c>
      <c r="F105" s="26" t="s">
        <v>8</v>
      </c>
      <c r="G105" s="26">
        <v>22</v>
      </c>
      <c r="H105" s="26" t="s">
        <v>8</v>
      </c>
      <c r="I105" s="26" t="s">
        <v>565</v>
      </c>
      <c r="J105" s="26" t="s">
        <v>524</v>
      </c>
      <c r="K105" s="26">
        <v>527249</v>
      </c>
      <c r="L105" s="26">
        <v>66018</v>
      </c>
      <c r="M105" s="26" t="s">
        <v>525</v>
      </c>
      <c r="N105" s="31">
        <v>0.6060416666666667</v>
      </c>
      <c r="O105" s="32"/>
      <c r="P105" s="26" t="s">
        <v>526</v>
      </c>
      <c r="Q105" s="26" t="s">
        <v>527</v>
      </c>
      <c r="R105" s="32"/>
      <c r="S105" s="26" t="b">
        <v>0</v>
      </c>
      <c r="T105" s="32"/>
      <c r="U105" s="26" t="b">
        <v>1</v>
      </c>
    </row>
    <row r="106" spans="1:21" ht="16" x14ac:dyDescent="0.2">
      <c r="A106" s="25">
        <v>6982</v>
      </c>
      <c r="B106" s="26" t="s">
        <v>550</v>
      </c>
      <c r="C106" s="28">
        <v>45995</v>
      </c>
      <c r="D106" s="26" t="s">
        <v>557</v>
      </c>
      <c r="E106" s="26">
        <v>95.29</v>
      </c>
      <c r="F106" s="26" t="s">
        <v>8</v>
      </c>
      <c r="G106" s="26">
        <v>95.29</v>
      </c>
      <c r="H106" s="26" t="s">
        <v>8</v>
      </c>
      <c r="I106" s="26" t="s">
        <v>535</v>
      </c>
      <c r="J106" s="26" t="s">
        <v>524</v>
      </c>
      <c r="K106" s="26">
        <v>527249</v>
      </c>
      <c r="L106" s="26">
        <v>72754</v>
      </c>
      <c r="M106" s="26" t="s">
        <v>525</v>
      </c>
      <c r="N106" s="31">
        <v>0.62285879629629626</v>
      </c>
      <c r="O106" s="32"/>
      <c r="P106" s="26" t="s">
        <v>526</v>
      </c>
      <c r="Q106" s="26" t="s">
        <v>527</v>
      </c>
      <c r="R106" s="32"/>
      <c r="S106" s="26" t="b">
        <v>0</v>
      </c>
      <c r="T106" s="32"/>
      <c r="U106" s="26" t="b">
        <v>1</v>
      </c>
    </row>
    <row r="107" spans="1:21" ht="16" x14ac:dyDescent="0.2">
      <c r="A107" s="25">
        <v>6982</v>
      </c>
      <c r="B107" s="26" t="s">
        <v>528</v>
      </c>
      <c r="C107" s="28">
        <v>45994</v>
      </c>
      <c r="D107" s="26" t="s">
        <v>529</v>
      </c>
      <c r="E107" s="26">
        <v>21.62</v>
      </c>
      <c r="F107" s="26" t="s">
        <v>8</v>
      </c>
      <c r="G107" s="26">
        <v>21.62</v>
      </c>
      <c r="H107" s="26" t="s">
        <v>8</v>
      </c>
      <c r="I107" s="26" t="s">
        <v>530</v>
      </c>
      <c r="J107" s="26" t="s">
        <v>524</v>
      </c>
      <c r="K107" s="26">
        <v>527173</v>
      </c>
      <c r="L107" s="26">
        <v>34590</v>
      </c>
      <c r="M107" s="26" t="s">
        <v>525</v>
      </c>
      <c r="N107" s="31">
        <v>0.22368055555555555</v>
      </c>
      <c r="O107" s="26" t="s">
        <v>531</v>
      </c>
      <c r="P107" s="26" t="s">
        <v>526</v>
      </c>
      <c r="Q107" s="26" t="s">
        <v>527</v>
      </c>
      <c r="R107" s="32"/>
      <c r="S107" s="26" t="b">
        <v>0</v>
      </c>
      <c r="T107" s="32"/>
      <c r="U107" s="26" t="b">
        <v>1</v>
      </c>
    </row>
    <row r="108" spans="1:21" ht="16" x14ac:dyDescent="0.2">
      <c r="A108" s="25">
        <v>6982</v>
      </c>
      <c r="B108" s="26" t="s">
        <v>521</v>
      </c>
      <c r="C108" s="28">
        <v>45994</v>
      </c>
      <c r="D108" s="30" t="s">
        <v>522</v>
      </c>
      <c r="E108" s="26">
        <v>14.99</v>
      </c>
      <c r="F108" s="26" t="s">
        <v>8</v>
      </c>
      <c r="G108" s="26">
        <v>14.99</v>
      </c>
      <c r="H108" s="26" t="s">
        <v>8</v>
      </c>
      <c r="I108" s="26" t="s">
        <v>523</v>
      </c>
      <c r="J108" s="26" t="s">
        <v>524</v>
      </c>
      <c r="K108" s="26">
        <v>527183</v>
      </c>
      <c r="L108" s="26">
        <v>1435</v>
      </c>
      <c r="M108" s="26" t="s">
        <v>525</v>
      </c>
      <c r="N108" s="31">
        <v>9.1643518518518527E-2</v>
      </c>
      <c r="O108" s="26" t="s">
        <v>531</v>
      </c>
      <c r="P108" s="26" t="s">
        <v>526</v>
      </c>
      <c r="Q108" s="26" t="s">
        <v>527</v>
      </c>
      <c r="R108" s="32"/>
      <c r="S108" s="26" t="b">
        <v>0</v>
      </c>
      <c r="T108" s="32"/>
      <c r="U108" s="26" t="b">
        <v>1</v>
      </c>
    </row>
    <row r="109" spans="1:21" ht="16" x14ac:dyDescent="0.2">
      <c r="A109" s="25">
        <v>6982</v>
      </c>
      <c r="B109" s="26" t="s">
        <v>550</v>
      </c>
      <c r="C109" s="28">
        <v>45994</v>
      </c>
      <c r="D109" s="26" t="s">
        <v>558</v>
      </c>
      <c r="E109" s="26">
        <v>23.42</v>
      </c>
      <c r="F109" s="26" t="s">
        <v>8</v>
      </c>
      <c r="G109" s="26">
        <v>26.62</v>
      </c>
      <c r="H109" s="26" t="s">
        <v>534</v>
      </c>
      <c r="I109" s="26" t="s">
        <v>535</v>
      </c>
      <c r="J109" s="26" t="s">
        <v>524</v>
      </c>
      <c r="K109" s="26">
        <v>527208</v>
      </c>
      <c r="L109" s="26">
        <v>67504</v>
      </c>
      <c r="M109" s="26" t="s">
        <v>525</v>
      </c>
      <c r="N109" s="31">
        <v>0.6855902777777777</v>
      </c>
      <c r="O109" s="32"/>
      <c r="P109" s="26" t="s">
        <v>526</v>
      </c>
      <c r="Q109" s="26" t="s">
        <v>527</v>
      </c>
      <c r="R109" s="32"/>
      <c r="S109" s="26" t="b">
        <v>0</v>
      </c>
      <c r="T109" s="32"/>
      <c r="U109" s="26" t="b">
        <v>1</v>
      </c>
    </row>
    <row r="110" spans="1:21" ht="16" x14ac:dyDescent="0.2">
      <c r="A110" s="25">
        <v>6982</v>
      </c>
      <c r="B110" s="26" t="s">
        <v>528</v>
      </c>
      <c r="C110" s="28">
        <v>45993</v>
      </c>
      <c r="D110" s="26" t="s">
        <v>529</v>
      </c>
      <c r="E110" s="26">
        <v>4.99</v>
      </c>
      <c r="F110" s="26" t="s">
        <v>8</v>
      </c>
      <c r="G110" s="26">
        <v>4.99</v>
      </c>
      <c r="H110" s="26" t="s">
        <v>8</v>
      </c>
      <c r="I110" s="26" t="s">
        <v>530</v>
      </c>
      <c r="J110" s="26" t="s">
        <v>524</v>
      </c>
      <c r="K110" s="26">
        <v>527146</v>
      </c>
      <c r="L110" s="26">
        <v>9595</v>
      </c>
      <c r="M110" s="26" t="s">
        <v>525</v>
      </c>
      <c r="N110" s="31">
        <v>0.37359953703703702</v>
      </c>
      <c r="O110" s="26" t="s">
        <v>531</v>
      </c>
      <c r="P110" s="26" t="s">
        <v>526</v>
      </c>
      <c r="Q110" s="26" t="s">
        <v>527</v>
      </c>
      <c r="R110" s="32"/>
      <c r="S110" s="26" t="b">
        <v>0</v>
      </c>
      <c r="T110" s="32"/>
      <c r="U110" s="26" t="b">
        <v>1</v>
      </c>
    </row>
    <row r="111" spans="1:21" ht="16" x14ac:dyDescent="0.2">
      <c r="A111" s="25">
        <v>6982</v>
      </c>
      <c r="B111" s="26" t="s">
        <v>521</v>
      </c>
      <c r="C111" s="28">
        <v>45993</v>
      </c>
      <c r="D111" s="30" t="s">
        <v>522</v>
      </c>
      <c r="E111" s="26">
        <v>12.49</v>
      </c>
      <c r="F111" s="26" t="s">
        <v>8</v>
      </c>
      <c r="G111" s="26">
        <v>12.49</v>
      </c>
      <c r="H111" s="26" t="s">
        <v>8</v>
      </c>
      <c r="I111" s="26" t="s">
        <v>523</v>
      </c>
      <c r="J111" s="26" t="s">
        <v>524</v>
      </c>
      <c r="K111" s="26">
        <v>527166</v>
      </c>
      <c r="L111" s="26">
        <v>63875</v>
      </c>
      <c r="M111" s="26" t="s">
        <v>554</v>
      </c>
      <c r="N111" s="31">
        <v>0.50668981481481479</v>
      </c>
      <c r="O111" s="32"/>
      <c r="P111" s="26" t="s">
        <v>526</v>
      </c>
      <c r="Q111" s="26" t="s">
        <v>527</v>
      </c>
      <c r="R111" s="32"/>
      <c r="S111" s="26" t="b">
        <v>0</v>
      </c>
      <c r="T111" s="32"/>
      <c r="U111" s="26" t="b">
        <v>1</v>
      </c>
    </row>
    <row r="112" spans="1:21" ht="16" x14ac:dyDescent="0.2">
      <c r="A112" s="25">
        <v>6982</v>
      </c>
      <c r="B112" s="26" t="s">
        <v>528</v>
      </c>
      <c r="C112" s="28">
        <v>45993</v>
      </c>
      <c r="D112" s="26" t="s">
        <v>625</v>
      </c>
      <c r="E112" s="26">
        <v>12</v>
      </c>
      <c r="F112" s="26" t="s">
        <v>8</v>
      </c>
      <c r="G112" s="26">
        <v>12</v>
      </c>
      <c r="H112" s="26" t="s">
        <v>8</v>
      </c>
      <c r="I112" s="26" t="s">
        <v>600</v>
      </c>
      <c r="J112" s="26" t="s">
        <v>524</v>
      </c>
      <c r="K112" s="26">
        <v>527183</v>
      </c>
      <c r="L112" s="26">
        <v>14710</v>
      </c>
      <c r="M112" s="26" t="s">
        <v>554</v>
      </c>
      <c r="N112" s="31">
        <v>0.61641203703703706</v>
      </c>
      <c r="O112" s="26" t="s">
        <v>531</v>
      </c>
      <c r="P112" s="26" t="s">
        <v>526</v>
      </c>
      <c r="Q112" s="26" t="s">
        <v>527</v>
      </c>
      <c r="R112" s="32"/>
      <c r="S112" s="26" t="b">
        <v>0</v>
      </c>
      <c r="T112" s="32"/>
      <c r="U112" s="26" t="b">
        <v>1</v>
      </c>
    </row>
    <row r="113" spans="1:21" ht="16" x14ac:dyDescent="0.2">
      <c r="A113" s="25">
        <v>6982</v>
      </c>
      <c r="B113" s="26" t="s">
        <v>563</v>
      </c>
      <c r="C113" s="28">
        <v>45993</v>
      </c>
      <c r="D113" s="26" t="s">
        <v>564</v>
      </c>
      <c r="E113" s="26">
        <v>11.99</v>
      </c>
      <c r="F113" s="26" t="s">
        <v>8</v>
      </c>
      <c r="G113" s="26">
        <v>11.99</v>
      </c>
      <c r="H113" s="26" t="s">
        <v>8</v>
      </c>
      <c r="I113" s="26" t="s">
        <v>565</v>
      </c>
      <c r="J113" s="26" t="s">
        <v>524</v>
      </c>
      <c r="K113" s="26">
        <v>527208</v>
      </c>
      <c r="L113" s="26">
        <v>4503</v>
      </c>
      <c r="M113" s="26" t="s">
        <v>525</v>
      </c>
      <c r="N113" s="31">
        <v>0.80378472222222219</v>
      </c>
      <c r="O113" s="32"/>
      <c r="P113" s="26" t="s">
        <v>526</v>
      </c>
      <c r="Q113" s="26" t="s">
        <v>527</v>
      </c>
      <c r="R113" s="32"/>
      <c r="S113" s="26" t="b">
        <v>0</v>
      </c>
      <c r="T113" s="32"/>
      <c r="U113" s="26" t="b">
        <v>1</v>
      </c>
    </row>
    <row r="114" spans="1:21" ht="16" x14ac:dyDescent="0.2">
      <c r="A114" s="25">
        <v>6982</v>
      </c>
      <c r="B114" s="26" t="s">
        <v>550</v>
      </c>
      <c r="C114" s="28">
        <v>45992</v>
      </c>
      <c r="D114" s="26" t="s">
        <v>626</v>
      </c>
      <c r="E114" s="26">
        <v>58.27</v>
      </c>
      <c r="F114" s="26" t="s">
        <v>8</v>
      </c>
      <c r="G114" s="26">
        <v>66</v>
      </c>
      <c r="H114" s="26" t="s">
        <v>534</v>
      </c>
      <c r="I114" s="26" t="s">
        <v>535</v>
      </c>
      <c r="J114" s="26" t="s">
        <v>524</v>
      </c>
      <c r="K114" s="26">
        <v>527126</v>
      </c>
      <c r="L114" s="26">
        <v>9319</v>
      </c>
      <c r="M114" s="26" t="s">
        <v>525</v>
      </c>
      <c r="N114" s="31">
        <v>0.59606481481481477</v>
      </c>
      <c r="O114" s="32"/>
      <c r="P114" s="26" t="s">
        <v>526</v>
      </c>
      <c r="Q114" s="26" t="s">
        <v>527</v>
      </c>
      <c r="R114" s="32"/>
      <c r="S114" s="26" t="b">
        <v>0</v>
      </c>
      <c r="T114" s="32"/>
      <c r="U114" s="26" t="b">
        <v>1</v>
      </c>
    </row>
    <row r="115" spans="1:21" ht="16" x14ac:dyDescent="0.2">
      <c r="A115" s="25">
        <v>6982</v>
      </c>
      <c r="B115" s="26" t="s">
        <v>560</v>
      </c>
      <c r="C115" s="28">
        <v>45991</v>
      </c>
      <c r="D115" s="26" t="s">
        <v>627</v>
      </c>
      <c r="E115" s="26">
        <v>4.99</v>
      </c>
      <c r="F115" s="26" t="s">
        <v>8</v>
      </c>
      <c r="G115" s="26">
        <v>4.99</v>
      </c>
      <c r="H115" s="26" t="s">
        <v>8</v>
      </c>
      <c r="I115" s="26" t="s">
        <v>547</v>
      </c>
      <c r="J115" s="26" t="s">
        <v>524</v>
      </c>
      <c r="K115" s="26">
        <v>527083</v>
      </c>
      <c r="L115" s="26">
        <v>14076</v>
      </c>
      <c r="M115" s="26" t="s">
        <v>525</v>
      </c>
      <c r="N115" s="31">
        <v>0.85260416666666661</v>
      </c>
      <c r="O115" s="32"/>
      <c r="P115" s="26" t="s">
        <v>526</v>
      </c>
      <c r="Q115" s="26" t="s">
        <v>527</v>
      </c>
      <c r="R115" s="32"/>
      <c r="S115" s="26" t="b">
        <v>0</v>
      </c>
      <c r="T115" s="32"/>
      <c r="U115" s="26" t="b">
        <v>1</v>
      </c>
    </row>
    <row r="116" spans="1:21" ht="16" x14ac:dyDescent="0.2">
      <c r="A116" s="25">
        <v>6982</v>
      </c>
      <c r="B116" s="26" t="s">
        <v>550</v>
      </c>
      <c r="C116" s="28">
        <v>45991</v>
      </c>
      <c r="D116" s="26" t="s">
        <v>574</v>
      </c>
      <c r="E116" s="26">
        <v>17.649999999999999</v>
      </c>
      <c r="F116" s="26" t="s">
        <v>8</v>
      </c>
      <c r="G116" s="26">
        <v>20</v>
      </c>
      <c r="H116" s="26" t="s">
        <v>534</v>
      </c>
      <c r="I116" s="26" t="s">
        <v>575</v>
      </c>
      <c r="J116" s="26" t="s">
        <v>524</v>
      </c>
      <c r="K116" s="26">
        <v>527086</v>
      </c>
      <c r="L116" s="26">
        <v>54594</v>
      </c>
      <c r="M116" s="26" t="s">
        <v>525</v>
      </c>
      <c r="N116" s="31">
        <v>0.97873842592592597</v>
      </c>
      <c r="O116" s="32"/>
      <c r="P116" s="26" t="s">
        <v>526</v>
      </c>
      <c r="Q116" s="26" t="s">
        <v>527</v>
      </c>
      <c r="R116" s="32"/>
      <c r="S116" s="26" t="b">
        <v>0</v>
      </c>
      <c r="T116" s="32"/>
      <c r="U116" s="26" t="b">
        <v>1</v>
      </c>
    </row>
    <row r="117" spans="1:21" ht="16" x14ac:dyDescent="0.2">
      <c r="A117" s="25">
        <v>6982</v>
      </c>
      <c r="B117" s="26" t="s">
        <v>550</v>
      </c>
      <c r="C117" s="28">
        <v>45991</v>
      </c>
      <c r="D117" s="26" t="s">
        <v>567</v>
      </c>
      <c r="E117" s="26">
        <v>13.23</v>
      </c>
      <c r="F117" s="26" t="s">
        <v>8</v>
      </c>
      <c r="G117" s="26">
        <v>15</v>
      </c>
      <c r="H117" s="26" t="s">
        <v>534</v>
      </c>
      <c r="I117" s="26" t="s">
        <v>535</v>
      </c>
      <c r="J117" s="26" t="s">
        <v>524</v>
      </c>
      <c r="K117" s="26">
        <v>527086</v>
      </c>
      <c r="L117" s="26">
        <v>65201</v>
      </c>
      <c r="M117" s="26" t="s">
        <v>525</v>
      </c>
      <c r="N117" s="31">
        <v>0.95223379629629623</v>
      </c>
      <c r="O117" s="32"/>
      <c r="P117" s="26" t="s">
        <v>526</v>
      </c>
      <c r="Q117" s="26" t="s">
        <v>527</v>
      </c>
      <c r="R117" s="32"/>
      <c r="S117" s="26" t="b">
        <v>0</v>
      </c>
      <c r="T117" s="32"/>
      <c r="U117" s="26" t="b">
        <v>1</v>
      </c>
    </row>
    <row r="118" spans="1:21" ht="16" x14ac:dyDescent="0.2">
      <c r="A118" s="25">
        <v>6982</v>
      </c>
      <c r="B118" s="26" t="s">
        <v>528</v>
      </c>
      <c r="C118" s="28">
        <v>45991</v>
      </c>
      <c r="D118" s="30" t="s">
        <v>562</v>
      </c>
      <c r="E118" s="26">
        <v>19.22</v>
      </c>
      <c r="F118" s="26" t="s">
        <v>8</v>
      </c>
      <c r="G118" s="26">
        <v>21.78</v>
      </c>
      <c r="H118" s="26" t="s">
        <v>534</v>
      </c>
      <c r="I118" s="26" t="s">
        <v>535</v>
      </c>
      <c r="J118" s="26" t="s">
        <v>524</v>
      </c>
      <c r="K118" s="26">
        <v>527099</v>
      </c>
      <c r="L118" s="26">
        <v>23436</v>
      </c>
      <c r="M118" s="26" t="s">
        <v>525</v>
      </c>
      <c r="N118" s="31">
        <v>0.18469907407407407</v>
      </c>
      <c r="O118" s="32"/>
      <c r="P118" s="26" t="s">
        <v>526</v>
      </c>
      <c r="Q118" s="26" t="s">
        <v>527</v>
      </c>
      <c r="R118" s="32"/>
      <c r="S118" s="26" t="b">
        <v>0</v>
      </c>
      <c r="T118" s="32"/>
      <c r="U118" s="26" t="b">
        <v>1</v>
      </c>
    </row>
    <row r="119" spans="1:21" ht="16" x14ac:dyDescent="0.2">
      <c r="A119" s="25">
        <v>6982</v>
      </c>
      <c r="B119" s="26" t="s">
        <v>521</v>
      </c>
      <c r="C119" s="28">
        <v>45990</v>
      </c>
      <c r="D119" s="30" t="s">
        <v>522</v>
      </c>
      <c r="E119" s="26">
        <v>9.99</v>
      </c>
      <c r="F119" s="26" t="s">
        <v>8</v>
      </c>
      <c r="G119" s="26">
        <v>9.99</v>
      </c>
      <c r="H119" s="26" t="s">
        <v>8</v>
      </c>
      <c r="I119" s="26" t="s">
        <v>523</v>
      </c>
      <c r="J119" s="26" t="s">
        <v>524</v>
      </c>
      <c r="K119" s="26">
        <v>527026</v>
      </c>
      <c r="L119" s="26">
        <v>5146</v>
      </c>
      <c r="M119" s="26" t="s">
        <v>525</v>
      </c>
      <c r="N119" s="31">
        <v>0.16748842592592594</v>
      </c>
      <c r="O119" s="32"/>
      <c r="P119" s="26" t="s">
        <v>526</v>
      </c>
      <c r="Q119" s="26" t="s">
        <v>527</v>
      </c>
      <c r="R119" s="32"/>
      <c r="S119" s="26" t="b">
        <v>0</v>
      </c>
      <c r="T119" s="32"/>
      <c r="U119" s="26" t="b">
        <v>1</v>
      </c>
    </row>
    <row r="120" spans="1:21" ht="16" x14ac:dyDescent="0.2">
      <c r="A120" s="25">
        <v>6982</v>
      </c>
      <c r="B120" s="26" t="s">
        <v>550</v>
      </c>
      <c r="C120" s="28">
        <v>45989</v>
      </c>
      <c r="D120" s="26" t="s">
        <v>571</v>
      </c>
      <c r="E120" s="26">
        <v>8.81</v>
      </c>
      <c r="F120" s="26" t="s">
        <v>8</v>
      </c>
      <c r="G120" s="26">
        <v>10</v>
      </c>
      <c r="H120" s="26" t="s">
        <v>534</v>
      </c>
      <c r="I120" s="26" t="s">
        <v>547</v>
      </c>
      <c r="J120" s="26" t="s">
        <v>524</v>
      </c>
      <c r="K120" s="26">
        <v>526998</v>
      </c>
      <c r="L120" s="26">
        <v>16097</v>
      </c>
      <c r="M120" s="26" t="s">
        <v>525</v>
      </c>
      <c r="N120" s="31">
        <v>0.41523148148148148</v>
      </c>
      <c r="O120" s="32"/>
      <c r="P120" s="26" t="s">
        <v>526</v>
      </c>
      <c r="Q120" s="26" t="s">
        <v>527</v>
      </c>
      <c r="R120" s="32"/>
      <c r="S120" s="26" t="b">
        <v>0</v>
      </c>
      <c r="T120" s="32"/>
      <c r="U120" s="26" t="b">
        <v>1</v>
      </c>
    </row>
    <row r="121" spans="1:21" ht="16" x14ac:dyDescent="0.2">
      <c r="A121" s="25">
        <v>6982</v>
      </c>
      <c r="B121" s="26" t="s">
        <v>583</v>
      </c>
      <c r="C121" s="28">
        <v>45989</v>
      </c>
      <c r="D121" s="26" t="s">
        <v>628</v>
      </c>
      <c r="E121" s="26">
        <v>8.49</v>
      </c>
      <c r="F121" s="26" t="s">
        <v>8</v>
      </c>
      <c r="G121" s="26">
        <v>8.49</v>
      </c>
      <c r="H121" s="26" t="s">
        <v>8</v>
      </c>
      <c r="I121" s="26" t="s">
        <v>565</v>
      </c>
      <c r="J121" s="26" t="s">
        <v>524</v>
      </c>
      <c r="K121" s="26">
        <v>527009</v>
      </c>
      <c r="L121" s="26">
        <v>58962</v>
      </c>
      <c r="M121" s="26" t="s">
        <v>525</v>
      </c>
      <c r="N121" s="31">
        <v>0.55581018518518521</v>
      </c>
      <c r="O121" s="32"/>
      <c r="P121" s="26" t="s">
        <v>526</v>
      </c>
      <c r="Q121" s="26" t="s">
        <v>527</v>
      </c>
      <c r="R121" s="32"/>
      <c r="S121" s="26" t="b">
        <v>0</v>
      </c>
      <c r="T121" s="32"/>
      <c r="U121" s="26" t="b">
        <v>1</v>
      </c>
    </row>
    <row r="122" spans="1:21" ht="16" x14ac:dyDescent="0.2">
      <c r="A122" s="25">
        <v>6982</v>
      </c>
      <c r="B122" s="26" t="s">
        <v>550</v>
      </c>
      <c r="C122" s="28">
        <v>45989</v>
      </c>
      <c r="D122" s="26" t="s">
        <v>559</v>
      </c>
      <c r="E122" s="26">
        <v>52.96</v>
      </c>
      <c r="F122" s="26" t="s">
        <v>8</v>
      </c>
      <c r="G122" s="26">
        <v>60</v>
      </c>
      <c r="H122" s="26" t="s">
        <v>534</v>
      </c>
      <c r="I122" s="26" t="s">
        <v>535</v>
      </c>
      <c r="J122" s="26" t="s">
        <v>524</v>
      </c>
      <c r="K122" s="26">
        <v>527009</v>
      </c>
      <c r="L122" s="26">
        <v>78561</v>
      </c>
      <c r="M122" s="26" t="s">
        <v>525</v>
      </c>
      <c r="N122" s="31">
        <v>0.89266203703703706</v>
      </c>
      <c r="O122" s="32"/>
      <c r="P122" s="26" t="s">
        <v>526</v>
      </c>
      <c r="Q122" s="26" t="s">
        <v>527</v>
      </c>
      <c r="R122" s="32"/>
      <c r="S122" s="26" t="b">
        <v>0</v>
      </c>
      <c r="T122" s="32"/>
      <c r="U122" s="26" t="b">
        <v>1</v>
      </c>
    </row>
    <row r="123" spans="1:21" ht="16" x14ac:dyDescent="0.2">
      <c r="A123" s="25">
        <v>6982</v>
      </c>
      <c r="B123" s="26" t="s">
        <v>550</v>
      </c>
      <c r="C123" s="28">
        <v>45989</v>
      </c>
      <c r="D123" s="26" t="s">
        <v>572</v>
      </c>
      <c r="E123" s="26">
        <v>7</v>
      </c>
      <c r="F123" s="26" t="s">
        <v>8</v>
      </c>
      <c r="G123" s="26">
        <v>7</v>
      </c>
      <c r="H123" s="26" t="s">
        <v>8</v>
      </c>
      <c r="I123" s="26" t="s">
        <v>573</v>
      </c>
      <c r="J123" s="26" t="s">
        <v>524</v>
      </c>
      <c r="K123" s="26">
        <v>527009</v>
      </c>
      <c r="L123" s="26">
        <v>80068</v>
      </c>
      <c r="M123" s="26" t="s">
        <v>525</v>
      </c>
      <c r="N123" s="31">
        <v>0.87326388888888884</v>
      </c>
      <c r="O123" s="32"/>
      <c r="P123" s="26" t="s">
        <v>526</v>
      </c>
      <c r="Q123" s="26" t="s">
        <v>527</v>
      </c>
      <c r="R123" s="32"/>
      <c r="S123" s="26" t="b">
        <v>0</v>
      </c>
      <c r="T123" s="32"/>
      <c r="U123" s="26" t="b">
        <v>1</v>
      </c>
    </row>
    <row r="124" spans="1:21" ht="16" x14ac:dyDescent="0.2">
      <c r="A124" s="25">
        <v>6982</v>
      </c>
      <c r="B124" s="26" t="s">
        <v>528</v>
      </c>
      <c r="C124" s="28">
        <v>45989</v>
      </c>
      <c r="D124" s="26" t="s">
        <v>629</v>
      </c>
      <c r="E124" s="26">
        <v>14.91</v>
      </c>
      <c r="F124" s="26" t="s">
        <v>8</v>
      </c>
      <c r="G124" s="26">
        <v>14.91</v>
      </c>
      <c r="H124" s="26" t="s">
        <v>8</v>
      </c>
      <c r="I124" s="26" t="s">
        <v>544</v>
      </c>
      <c r="J124" s="26" t="s">
        <v>524</v>
      </c>
      <c r="K124" s="26">
        <v>527017</v>
      </c>
      <c r="L124" s="26">
        <v>52757</v>
      </c>
      <c r="M124" s="26" t="s">
        <v>525</v>
      </c>
      <c r="N124" s="31">
        <v>0.65925925925925932</v>
      </c>
      <c r="O124" s="26" t="s">
        <v>531</v>
      </c>
      <c r="P124" s="26" t="s">
        <v>526</v>
      </c>
      <c r="Q124" s="26" t="s">
        <v>527</v>
      </c>
      <c r="R124" s="32"/>
      <c r="S124" s="26" t="b">
        <v>0</v>
      </c>
      <c r="T124" s="32"/>
      <c r="U124" s="26" t="b">
        <v>1</v>
      </c>
    </row>
    <row r="125" spans="1:21" ht="16" x14ac:dyDescent="0.2">
      <c r="A125" s="25">
        <v>6982</v>
      </c>
      <c r="B125" s="26" t="s">
        <v>550</v>
      </c>
      <c r="C125" s="28">
        <v>45988</v>
      </c>
      <c r="D125" s="26" t="s">
        <v>574</v>
      </c>
      <c r="E125" s="26">
        <v>17.66</v>
      </c>
      <c r="F125" s="26" t="s">
        <v>8</v>
      </c>
      <c r="G125" s="26">
        <v>20</v>
      </c>
      <c r="H125" s="26" t="s">
        <v>534</v>
      </c>
      <c r="I125" s="26" t="s">
        <v>575</v>
      </c>
      <c r="J125" s="26" t="s">
        <v>524</v>
      </c>
      <c r="K125" s="26">
        <v>526959</v>
      </c>
      <c r="L125" s="26">
        <v>9747</v>
      </c>
      <c r="M125" s="26" t="s">
        <v>525</v>
      </c>
      <c r="N125" s="31">
        <v>0.4256597222222222</v>
      </c>
      <c r="O125" s="32"/>
      <c r="P125" s="26" t="s">
        <v>526</v>
      </c>
      <c r="Q125" s="26" t="s">
        <v>527</v>
      </c>
      <c r="R125" s="32"/>
      <c r="S125" s="26" t="b">
        <v>0</v>
      </c>
      <c r="T125" s="32"/>
      <c r="U125" s="26" t="b">
        <v>1</v>
      </c>
    </row>
    <row r="126" spans="1:21" ht="16" x14ac:dyDescent="0.2">
      <c r="A126" s="32"/>
      <c r="B126" s="26" t="s">
        <v>630</v>
      </c>
      <c r="C126" s="28">
        <v>45988</v>
      </c>
      <c r="D126" s="26" t="s">
        <v>568</v>
      </c>
      <c r="E126" s="26">
        <v>-1705.98</v>
      </c>
      <c r="F126" s="26" t="s">
        <v>8</v>
      </c>
      <c r="G126" s="26">
        <v>-1705.98</v>
      </c>
      <c r="H126" s="26" t="s">
        <v>8</v>
      </c>
      <c r="I126" s="32"/>
      <c r="J126" s="26" t="s">
        <v>569</v>
      </c>
      <c r="K126" s="26">
        <v>526930</v>
      </c>
      <c r="L126" s="26">
        <v>56728</v>
      </c>
      <c r="M126" s="26" t="s">
        <v>554</v>
      </c>
      <c r="N126" s="32"/>
      <c r="O126" s="32"/>
      <c r="P126" s="32"/>
      <c r="Q126" s="32"/>
      <c r="R126" s="32"/>
      <c r="S126" s="26" t="b">
        <v>0</v>
      </c>
      <c r="T126" s="32"/>
      <c r="U126" s="26" t="b">
        <v>0</v>
      </c>
    </row>
    <row r="127" spans="1:21" ht="16" x14ac:dyDescent="0.2">
      <c r="A127" s="25">
        <v>6982</v>
      </c>
      <c r="B127" s="26" t="s">
        <v>521</v>
      </c>
      <c r="C127" s="28">
        <v>45987</v>
      </c>
      <c r="D127" s="30" t="s">
        <v>522</v>
      </c>
      <c r="E127" s="26">
        <v>14.99</v>
      </c>
      <c r="F127" s="26" t="s">
        <v>8</v>
      </c>
      <c r="G127" s="26">
        <v>14.99</v>
      </c>
      <c r="H127" s="26" t="s">
        <v>8</v>
      </c>
      <c r="I127" s="26" t="s">
        <v>523</v>
      </c>
      <c r="J127" s="26" t="s">
        <v>524</v>
      </c>
      <c r="K127" s="26">
        <v>526910</v>
      </c>
      <c r="L127" s="26">
        <v>1901</v>
      </c>
      <c r="M127" s="26" t="s">
        <v>525</v>
      </c>
      <c r="N127" s="31">
        <v>9.1643518518518527E-2</v>
      </c>
      <c r="O127" s="26" t="s">
        <v>531</v>
      </c>
      <c r="P127" s="26" t="s">
        <v>526</v>
      </c>
      <c r="Q127" s="26" t="s">
        <v>527</v>
      </c>
      <c r="R127" s="32"/>
      <c r="S127" s="26" t="b">
        <v>0</v>
      </c>
      <c r="T127" s="32"/>
      <c r="U127" s="26" t="b">
        <v>1</v>
      </c>
    </row>
    <row r="128" spans="1:21" ht="16" x14ac:dyDescent="0.2">
      <c r="A128" s="25">
        <v>6982</v>
      </c>
      <c r="B128" s="26" t="s">
        <v>560</v>
      </c>
      <c r="C128" s="28">
        <v>45987</v>
      </c>
      <c r="D128" s="26" t="s">
        <v>631</v>
      </c>
      <c r="E128" s="26">
        <v>2.99</v>
      </c>
      <c r="F128" s="26" t="s">
        <v>8</v>
      </c>
      <c r="G128" s="26">
        <v>2.99</v>
      </c>
      <c r="H128" s="26" t="s">
        <v>8</v>
      </c>
      <c r="I128" s="26" t="s">
        <v>547</v>
      </c>
      <c r="J128" s="26" t="s">
        <v>524</v>
      </c>
      <c r="K128" s="26">
        <v>526934</v>
      </c>
      <c r="L128" s="26">
        <v>88529</v>
      </c>
      <c r="M128" s="26" t="s">
        <v>525</v>
      </c>
      <c r="N128" s="31">
        <v>0.88045138888888885</v>
      </c>
      <c r="O128" s="32"/>
      <c r="P128" s="26" t="s">
        <v>526</v>
      </c>
      <c r="Q128" s="26" t="s">
        <v>527</v>
      </c>
      <c r="R128" s="32"/>
      <c r="S128" s="26" t="b">
        <v>0</v>
      </c>
      <c r="T128" s="32"/>
      <c r="U128" s="26" t="b">
        <v>1</v>
      </c>
    </row>
    <row r="129" spans="1:21" ht="16" x14ac:dyDescent="0.2">
      <c r="A129" s="25">
        <v>6982</v>
      </c>
      <c r="B129" s="26" t="s">
        <v>528</v>
      </c>
      <c r="C129" s="28">
        <v>45987</v>
      </c>
      <c r="D129" s="26" t="s">
        <v>632</v>
      </c>
      <c r="E129" s="26">
        <v>5.99</v>
      </c>
      <c r="F129" s="26" t="s">
        <v>8</v>
      </c>
      <c r="G129" s="26">
        <v>5.99</v>
      </c>
      <c r="H129" s="26" t="s">
        <v>8</v>
      </c>
      <c r="I129" s="26" t="s">
        <v>614</v>
      </c>
      <c r="J129" s="26" t="s">
        <v>524</v>
      </c>
      <c r="K129" s="26">
        <v>526977</v>
      </c>
      <c r="L129" s="26">
        <v>26783</v>
      </c>
      <c r="M129" s="26" t="s">
        <v>554</v>
      </c>
      <c r="N129" s="31">
        <v>0.55531249999999999</v>
      </c>
      <c r="O129" s="26" t="s">
        <v>531</v>
      </c>
      <c r="P129" s="26" t="s">
        <v>526</v>
      </c>
      <c r="Q129" s="26" t="s">
        <v>527</v>
      </c>
      <c r="R129" s="32"/>
      <c r="S129" s="26" t="b">
        <v>0</v>
      </c>
      <c r="T129" s="32"/>
      <c r="U129" s="26" t="b">
        <v>1</v>
      </c>
    </row>
    <row r="130" spans="1:21" ht="16" x14ac:dyDescent="0.2">
      <c r="A130" s="25">
        <v>6982</v>
      </c>
      <c r="B130" s="26" t="s">
        <v>528</v>
      </c>
      <c r="C130" s="28">
        <v>45986</v>
      </c>
      <c r="D130" s="26" t="s">
        <v>529</v>
      </c>
      <c r="E130" s="26">
        <v>2.3199999999999998</v>
      </c>
      <c r="F130" s="26" t="s">
        <v>8</v>
      </c>
      <c r="G130" s="26">
        <v>2.3199999999999998</v>
      </c>
      <c r="H130" s="26" t="s">
        <v>8</v>
      </c>
      <c r="I130" s="26" t="s">
        <v>530</v>
      </c>
      <c r="J130" s="26" t="s">
        <v>524</v>
      </c>
      <c r="K130" s="26">
        <v>526861</v>
      </c>
      <c r="L130" s="26">
        <v>32730</v>
      </c>
      <c r="M130" s="26" t="s">
        <v>525</v>
      </c>
      <c r="N130" s="31">
        <v>0.23121527777777776</v>
      </c>
      <c r="O130" s="26" t="s">
        <v>531</v>
      </c>
      <c r="P130" s="26" t="s">
        <v>526</v>
      </c>
      <c r="Q130" s="26" t="s">
        <v>527</v>
      </c>
      <c r="R130" s="32"/>
      <c r="S130" s="26" t="b">
        <v>0</v>
      </c>
      <c r="T130" s="32"/>
      <c r="U130" s="26" t="b">
        <v>1</v>
      </c>
    </row>
    <row r="131" spans="1:21" ht="16" x14ac:dyDescent="0.2">
      <c r="A131" s="25">
        <v>6982</v>
      </c>
      <c r="B131" s="26" t="s">
        <v>521</v>
      </c>
      <c r="C131" s="28">
        <v>45986</v>
      </c>
      <c r="D131" s="30" t="s">
        <v>522</v>
      </c>
      <c r="E131" s="26">
        <v>8.99</v>
      </c>
      <c r="F131" s="26" t="s">
        <v>8</v>
      </c>
      <c r="G131" s="26">
        <v>8.99</v>
      </c>
      <c r="H131" s="26" t="s">
        <v>8</v>
      </c>
      <c r="I131" s="26" t="s">
        <v>523</v>
      </c>
      <c r="J131" s="26" t="s">
        <v>524</v>
      </c>
      <c r="K131" s="26">
        <v>526865</v>
      </c>
      <c r="L131" s="26">
        <v>5521</v>
      </c>
      <c r="M131" s="26" t="s">
        <v>525</v>
      </c>
      <c r="N131" s="31">
        <v>0.19976851851851851</v>
      </c>
      <c r="O131" s="32"/>
      <c r="P131" s="26" t="s">
        <v>526</v>
      </c>
      <c r="Q131" s="26" t="s">
        <v>527</v>
      </c>
      <c r="R131" s="32"/>
      <c r="S131" s="26" t="b">
        <v>0</v>
      </c>
      <c r="T131" s="32"/>
      <c r="U131" s="26" t="b">
        <v>1</v>
      </c>
    </row>
    <row r="132" spans="1:21" ht="16" x14ac:dyDescent="0.2">
      <c r="A132" s="25">
        <v>6982</v>
      </c>
      <c r="B132" s="26" t="s">
        <v>583</v>
      </c>
      <c r="C132" s="28">
        <v>45986</v>
      </c>
      <c r="D132" s="26" t="s">
        <v>633</v>
      </c>
      <c r="E132" s="26">
        <v>9.99</v>
      </c>
      <c r="F132" s="26" t="s">
        <v>8</v>
      </c>
      <c r="G132" s="26">
        <v>9.99</v>
      </c>
      <c r="H132" s="26" t="s">
        <v>8</v>
      </c>
      <c r="I132" s="26" t="s">
        <v>565</v>
      </c>
      <c r="J132" s="26" t="s">
        <v>524</v>
      </c>
      <c r="K132" s="26">
        <v>526892</v>
      </c>
      <c r="L132" s="26">
        <v>51936</v>
      </c>
      <c r="M132" s="26" t="s">
        <v>525</v>
      </c>
      <c r="N132" s="31">
        <v>0.69362268518518511</v>
      </c>
      <c r="O132" s="32"/>
      <c r="P132" s="26" t="s">
        <v>526</v>
      </c>
      <c r="Q132" s="26" t="s">
        <v>527</v>
      </c>
      <c r="R132" s="32"/>
      <c r="S132" s="26" t="b">
        <v>0</v>
      </c>
      <c r="T132" s="32"/>
      <c r="U132" s="26" t="b">
        <v>1</v>
      </c>
    </row>
    <row r="133" spans="1:21" ht="16" x14ac:dyDescent="0.2">
      <c r="A133" s="25">
        <v>6982</v>
      </c>
      <c r="B133" s="26" t="s">
        <v>579</v>
      </c>
      <c r="C133" s="28">
        <v>45986</v>
      </c>
      <c r="D133" s="26" t="s">
        <v>634</v>
      </c>
      <c r="E133" s="26">
        <v>4.99</v>
      </c>
      <c r="F133" s="26" t="s">
        <v>8</v>
      </c>
      <c r="G133" s="26">
        <v>4.99</v>
      </c>
      <c r="H133" s="26" t="s">
        <v>8</v>
      </c>
      <c r="I133" s="26" t="s">
        <v>581</v>
      </c>
      <c r="J133" s="26" t="s">
        <v>524</v>
      </c>
      <c r="K133" s="26">
        <v>526892</v>
      </c>
      <c r="L133" s="26">
        <v>63578</v>
      </c>
      <c r="M133" s="26" t="s">
        <v>554</v>
      </c>
      <c r="N133" s="31">
        <v>0.66480324074074071</v>
      </c>
      <c r="O133" s="32"/>
      <c r="P133" s="26" t="s">
        <v>526</v>
      </c>
      <c r="Q133" s="26" t="s">
        <v>527</v>
      </c>
      <c r="R133" s="32"/>
      <c r="S133" s="26" t="b">
        <v>0</v>
      </c>
      <c r="T133" s="32"/>
      <c r="U133" s="26" t="b">
        <v>1</v>
      </c>
    </row>
    <row r="134" spans="1:21" ht="16" x14ac:dyDescent="0.2">
      <c r="A134" s="25">
        <v>6982</v>
      </c>
      <c r="B134" s="26" t="s">
        <v>635</v>
      </c>
      <c r="C134" s="28">
        <v>45985</v>
      </c>
      <c r="D134" s="26" t="s">
        <v>636</v>
      </c>
      <c r="E134" s="26">
        <v>26.99</v>
      </c>
      <c r="F134" s="26" t="s">
        <v>8</v>
      </c>
      <c r="G134" s="26">
        <v>26.99</v>
      </c>
      <c r="H134" s="26" t="s">
        <v>8</v>
      </c>
      <c r="I134" s="26" t="s">
        <v>598</v>
      </c>
      <c r="J134" s="26" t="s">
        <v>524</v>
      </c>
      <c r="K134" s="26">
        <v>526852</v>
      </c>
      <c r="L134" s="26">
        <v>91651</v>
      </c>
      <c r="M134" s="26" t="s">
        <v>525</v>
      </c>
      <c r="N134" s="31">
        <v>0.72673611111111114</v>
      </c>
      <c r="O134" s="32"/>
      <c r="P134" s="26" t="s">
        <v>526</v>
      </c>
      <c r="Q134" s="26" t="s">
        <v>527</v>
      </c>
      <c r="R134" s="32"/>
      <c r="S134" s="26" t="b">
        <v>0</v>
      </c>
      <c r="T134" s="32"/>
      <c r="U134" s="26" t="b">
        <v>1</v>
      </c>
    </row>
    <row r="135" spans="1:21" ht="16" x14ac:dyDescent="0.2">
      <c r="A135" s="25">
        <v>6982</v>
      </c>
      <c r="B135" s="26" t="s">
        <v>528</v>
      </c>
      <c r="C135" s="28">
        <v>45984</v>
      </c>
      <c r="D135" s="26" t="s">
        <v>585</v>
      </c>
      <c r="E135" s="26">
        <v>6.29</v>
      </c>
      <c r="F135" s="26" t="s">
        <v>8</v>
      </c>
      <c r="G135" s="26">
        <v>6.29</v>
      </c>
      <c r="H135" s="26" t="s">
        <v>8</v>
      </c>
      <c r="I135" s="26" t="s">
        <v>577</v>
      </c>
      <c r="J135" s="26" t="s">
        <v>524</v>
      </c>
      <c r="K135" s="26">
        <v>526787</v>
      </c>
      <c r="L135" s="26">
        <v>3860</v>
      </c>
      <c r="M135" s="26" t="s">
        <v>525</v>
      </c>
      <c r="N135" s="31">
        <v>0.96923611111111108</v>
      </c>
      <c r="O135" s="32"/>
      <c r="P135" s="26" t="s">
        <v>526</v>
      </c>
      <c r="Q135" s="26" t="s">
        <v>527</v>
      </c>
      <c r="R135" s="32"/>
      <c r="S135" s="26" t="b">
        <v>0</v>
      </c>
      <c r="T135" s="32"/>
      <c r="U135" s="26" t="b">
        <v>1</v>
      </c>
    </row>
    <row r="136" spans="1:21" ht="16" x14ac:dyDescent="0.2">
      <c r="A136" s="25">
        <v>6982</v>
      </c>
      <c r="B136" s="26" t="s">
        <v>550</v>
      </c>
      <c r="C136" s="28">
        <v>45984</v>
      </c>
      <c r="D136" s="26" t="s">
        <v>557</v>
      </c>
      <c r="E136" s="26">
        <v>21.78</v>
      </c>
      <c r="F136" s="26" t="s">
        <v>8</v>
      </c>
      <c r="G136" s="26">
        <v>21.78</v>
      </c>
      <c r="H136" s="26" t="s">
        <v>8</v>
      </c>
      <c r="I136" s="26" t="s">
        <v>535</v>
      </c>
      <c r="J136" s="26" t="s">
        <v>524</v>
      </c>
      <c r="K136" s="26">
        <v>526805</v>
      </c>
      <c r="L136" s="26">
        <v>13064</v>
      </c>
      <c r="M136" s="26" t="s">
        <v>525</v>
      </c>
      <c r="N136" s="31">
        <v>0.42146990740740736</v>
      </c>
      <c r="O136" s="32"/>
      <c r="P136" s="26" t="s">
        <v>526</v>
      </c>
      <c r="Q136" s="26" t="s">
        <v>527</v>
      </c>
      <c r="R136" s="32"/>
      <c r="S136" s="26" t="b">
        <v>0</v>
      </c>
      <c r="T136" s="32"/>
      <c r="U136" s="26" t="b">
        <v>1</v>
      </c>
    </row>
    <row r="137" spans="1:21" ht="16" x14ac:dyDescent="0.2">
      <c r="A137" s="25">
        <v>6982</v>
      </c>
      <c r="B137" s="26" t="s">
        <v>563</v>
      </c>
      <c r="C137" s="28">
        <v>45984</v>
      </c>
      <c r="D137" s="26" t="s">
        <v>607</v>
      </c>
      <c r="E137" s="26">
        <v>22.19</v>
      </c>
      <c r="F137" s="26" t="s">
        <v>8</v>
      </c>
      <c r="G137" s="26">
        <v>25</v>
      </c>
      <c r="H137" s="26" t="s">
        <v>534</v>
      </c>
      <c r="I137" s="26" t="s">
        <v>535</v>
      </c>
      <c r="J137" s="26" t="s">
        <v>524</v>
      </c>
      <c r="K137" s="26">
        <v>526809</v>
      </c>
      <c r="L137" s="26">
        <v>42839</v>
      </c>
      <c r="M137" s="26" t="s">
        <v>525</v>
      </c>
      <c r="N137" s="31">
        <v>0.55969907407407404</v>
      </c>
      <c r="O137" s="32"/>
      <c r="P137" s="26" t="s">
        <v>526</v>
      </c>
      <c r="Q137" s="26" t="s">
        <v>527</v>
      </c>
      <c r="R137" s="32"/>
      <c r="S137" s="26" t="b">
        <v>0</v>
      </c>
      <c r="T137" s="32"/>
      <c r="U137" s="26" t="b">
        <v>1</v>
      </c>
    </row>
    <row r="138" spans="1:21" ht="16" x14ac:dyDescent="0.2">
      <c r="A138" s="25">
        <v>6982</v>
      </c>
      <c r="B138" s="26" t="s">
        <v>528</v>
      </c>
      <c r="C138" s="28">
        <v>45983</v>
      </c>
      <c r="D138" s="26" t="s">
        <v>529</v>
      </c>
      <c r="E138" s="26">
        <v>1.87</v>
      </c>
      <c r="F138" s="26" t="s">
        <v>8</v>
      </c>
      <c r="G138" s="26">
        <v>1.87</v>
      </c>
      <c r="H138" s="26" t="s">
        <v>8</v>
      </c>
      <c r="I138" s="26" t="s">
        <v>530</v>
      </c>
      <c r="J138" s="26" t="s">
        <v>524</v>
      </c>
      <c r="K138" s="26">
        <v>526753</v>
      </c>
      <c r="L138" s="26">
        <v>19067</v>
      </c>
      <c r="M138" s="26" t="s">
        <v>525</v>
      </c>
      <c r="N138" s="31">
        <v>0.31281249999999999</v>
      </c>
      <c r="O138" s="26" t="s">
        <v>531</v>
      </c>
      <c r="P138" s="26" t="s">
        <v>526</v>
      </c>
      <c r="Q138" s="26" t="s">
        <v>527</v>
      </c>
      <c r="R138" s="32"/>
      <c r="S138" s="26" t="b">
        <v>0</v>
      </c>
      <c r="T138" s="32"/>
      <c r="U138" s="26" t="b">
        <v>1</v>
      </c>
    </row>
    <row r="139" spans="1:21" ht="16" x14ac:dyDescent="0.2">
      <c r="A139" s="25">
        <v>6982</v>
      </c>
      <c r="B139" s="26" t="s">
        <v>521</v>
      </c>
      <c r="C139" s="28">
        <v>45983</v>
      </c>
      <c r="D139" s="30" t="s">
        <v>522</v>
      </c>
      <c r="E139" s="26">
        <v>22.99</v>
      </c>
      <c r="F139" s="26" t="s">
        <v>8</v>
      </c>
      <c r="G139" s="26">
        <v>22.99</v>
      </c>
      <c r="H139" s="26" t="s">
        <v>8</v>
      </c>
      <c r="I139" s="26" t="s">
        <v>523</v>
      </c>
      <c r="J139" s="26" t="s">
        <v>524</v>
      </c>
      <c r="K139" s="26">
        <v>526777</v>
      </c>
      <c r="L139" s="26">
        <v>12646</v>
      </c>
      <c r="M139" s="26" t="s">
        <v>525</v>
      </c>
      <c r="N139" s="31">
        <v>0.49366898148148147</v>
      </c>
      <c r="O139" s="32"/>
      <c r="P139" s="26" t="s">
        <v>526</v>
      </c>
      <c r="Q139" s="26" t="s">
        <v>527</v>
      </c>
      <c r="R139" s="32"/>
      <c r="S139" s="26" t="b">
        <v>0</v>
      </c>
      <c r="T139" s="32"/>
      <c r="U139" s="26" t="b">
        <v>1</v>
      </c>
    </row>
    <row r="140" spans="1:21" ht="16" x14ac:dyDescent="0.2">
      <c r="A140" s="25">
        <v>6982</v>
      </c>
      <c r="B140" s="26" t="s">
        <v>521</v>
      </c>
      <c r="C140" s="28">
        <v>45982</v>
      </c>
      <c r="D140" s="30" t="s">
        <v>522</v>
      </c>
      <c r="E140" s="26">
        <v>16.989999999999998</v>
      </c>
      <c r="F140" s="26" t="s">
        <v>8</v>
      </c>
      <c r="G140" s="26">
        <v>16.989999999999998</v>
      </c>
      <c r="H140" s="26" t="s">
        <v>8</v>
      </c>
      <c r="I140" s="26" t="s">
        <v>523</v>
      </c>
      <c r="J140" s="26" t="s">
        <v>524</v>
      </c>
      <c r="K140" s="26">
        <v>526711</v>
      </c>
      <c r="L140" s="26">
        <v>3950</v>
      </c>
      <c r="M140" s="26" t="s">
        <v>525</v>
      </c>
      <c r="N140" s="31">
        <v>0.15331018518518519</v>
      </c>
      <c r="O140" s="26" t="s">
        <v>531</v>
      </c>
      <c r="P140" s="26" t="s">
        <v>526</v>
      </c>
      <c r="Q140" s="26" t="s">
        <v>527</v>
      </c>
      <c r="R140" s="32"/>
      <c r="S140" s="26" t="b">
        <v>0</v>
      </c>
      <c r="T140" s="32"/>
      <c r="U140" s="26" t="b">
        <v>1</v>
      </c>
    </row>
    <row r="141" spans="1:21" ht="16" x14ac:dyDescent="0.2">
      <c r="A141" s="25">
        <v>6982</v>
      </c>
      <c r="B141" s="26" t="s">
        <v>550</v>
      </c>
      <c r="C141" s="28">
        <v>45982</v>
      </c>
      <c r="D141" s="26" t="s">
        <v>588</v>
      </c>
      <c r="E141" s="26">
        <v>24</v>
      </c>
      <c r="F141" s="26" t="s">
        <v>8</v>
      </c>
      <c r="G141" s="26">
        <v>24</v>
      </c>
      <c r="H141" s="26" t="s">
        <v>8</v>
      </c>
      <c r="I141" s="26" t="s">
        <v>535</v>
      </c>
      <c r="J141" s="26" t="s">
        <v>524</v>
      </c>
      <c r="K141" s="26">
        <v>526724</v>
      </c>
      <c r="L141" s="26">
        <v>10425</v>
      </c>
      <c r="M141" s="26" t="s">
        <v>525</v>
      </c>
      <c r="N141" s="31">
        <v>0.45116898148148149</v>
      </c>
      <c r="O141" s="32"/>
      <c r="P141" s="26" t="s">
        <v>526</v>
      </c>
      <c r="Q141" s="26" t="s">
        <v>527</v>
      </c>
      <c r="R141" s="32"/>
      <c r="S141" s="26" t="b">
        <v>0</v>
      </c>
      <c r="T141" s="32"/>
      <c r="U141" s="26" t="b">
        <v>1</v>
      </c>
    </row>
    <row r="142" spans="1:21" ht="16" x14ac:dyDescent="0.2">
      <c r="A142" s="25">
        <v>6982</v>
      </c>
      <c r="B142" s="26" t="s">
        <v>528</v>
      </c>
      <c r="C142" s="28">
        <v>45982</v>
      </c>
      <c r="D142" s="26" t="s">
        <v>637</v>
      </c>
      <c r="E142" s="26">
        <v>23.05</v>
      </c>
      <c r="F142" s="26" t="s">
        <v>8</v>
      </c>
      <c r="G142" s="26">
        <v>23.05</v>
      </c>
      <c r="H142" s="26" t="s">
        <v>8</v>
      </c>
      <c r="I142" s="26" t="s">
        <v>587</v>
      </c>
      <c r="J142" s="26" t="s">
        <v>524</v>
      </c>
      <c r="K142" s="26">
        <v>526737</v>
      </c>
      <c r="L142" s="26">
        <v>34722</v>
      </c>
      <c r="M142" s="26" t="s">
        <v>554</v>
      </c>
      <c r="N142" s="31">
        <v>0.59063657407407411</v>
      </c>
      <c r="O142" s="26" t="s">
        <v>531</v>
      </c>
      <c r="P142" s="26" t="s">
        <v>526</v>
      </c>
      <c r="Q142" s="26" t="s">
        <v>527</v>
      </c>
      <c r="R142" s="32"/>
      <c r="S142" s="26" t="b">
        <v>0</v>
      </c>
      <c r="T142" s="32"/>
      <c r="U142" s="26" t="b">
        <v>1</v>
      </c>
    </row>
    <row r="143" spans="1:21" ht="16" x14ac:dyDescent="0.2">
      <c r="A143" s="25">
        <v>6982</v>
      </c>
      <c r="B143" s="26" t="s">
        <v>583</v>
      </c>
      <c r="C143" s="28">
        <v>45982</v>
      </c>
      <c r="D143" s="26" t="s">
        <v>638</v>
      </c>
      <c r="E143" s="26">
        <v>8.99</v>
      </c>
      <c r="F143" s="26" t="s">
        <v>8</v>
      </c>
      <c r="G143" s="26">
        <v>8.99</v>
      </c>
      <c r="H143" s="26" t="s">
        <v>8</v>
      </c>
      <c r="I143" s="26" t="s">
        <v>565</v>
      </c>
      <c r="J143" s="26" t="s">
        <v>524</v>
      </c>
      <c r="K143" s="26">
        <v>526737</v>
      </c>
      <c r="L143" s="26">
        <v>56033</v>
      </c>
      <c r="M143" s="26" t="s">
        <v>525</v>
      </c>
      <c r="N143" s="31">
        <v>0.91285879629629629</v>
      </c>
      <c r="O143" s="32"/>
      <c r="P143" s="26" t="s">
        <v>526</v>
      </c>
      <c r="Q143" s="26" t="s">
        <v>527</v>
      </c>
      <c r="R143" s="32"/>
      <c r="S143" s="26" t="b">
        <v>0</v>
      </c>
      <c r="T143" s="32"/>
      <c r="U143" s="26" t="b">
        <v>1</v>
      </c>
    </row>
    <row r="144" spans="1:21" ht="16" x14ac:dyDescent="0.2">
      <c r="A144" s="25">
        <v>6982</v>
      </c>
      <c r="B144" s="26" t="s">
        <v>583</v>
      </c>
      <c r="C144" s="28">
        <v>45982</v>
      </c>
      <c r="D144" s="26" t="s">
        <v>639</v>
      </c>
      <c r="E144" s="26">
        <v>8.99</v>
      </c>
      <c r="F144" s="26" t="s">
        <v>8</v>
      </c>
      <c r="G144" s="26">
        <v>8.99</v>
      </c>
      <c r="H144" s="26" t="s">
        <v>8</v>
      </c>
      <c r="I144" s="26" t="s">
        <v>565</v>
      </c>
      <c r="J144" s="26" t="s">
        <v>524</v>
      </c>
      <c r="K144" s="26">
        <v>526737</v>
      </c>
      <c r="L144" s="26">
        <v>56118</v>
      </c>
      <c r="M144" s="26" t="s">
        <v>525</v>
      </c>
      <c r="N144" s="31">
        <v>0.91356481481481477</v>
      </c>
      <c r="O144" s="32"/>
      <c r="P144" s="26" t="s">
        <v>526</v>
      </c>
      <c r="Q144" s="26" t="s">
        <v>527</v>
      </c>
      <c r="R144" s="32"/>
      <c r="S144" s="26" t="b">
        <v>0</v>
      </c>
      <c r="T144" s="32"/>
      <c r="U144" s="26" t="b">
        <v>1</v>
      </c>
    </row>
    <row r="145" spans="1:21" ht="16" x14ac:dyDescent="0.2">
      <c r="A145" s="25">
        <v>6982</v>
      </c>
      <c r="B145" s="26" t="s">
        <v>528</v>
      </c>
      <c r="C145" s="28">
        <v>45981</v>
      </c>
      <c r="D145" s="26" t="s">
        <v>529</v>
      </c>
      <c r="E145" s="26">
        <v>0.17</v>
      </c>
      <c r="F145" s="26" t="s">
        <v>8</v>
      </c>
      <c r="G145" s="26">
        <v>0.17</v>
      </c>
      <c r="H145" s="26" t="s">
        <v>8</v>
      </c>
      <c r="I145" s="26" t="s">
        <v>530</v>
      </c>
      <c r="J145" s="26" t="s">
        <v>524</v>
      </c>
      <c r="K145" s="26">
        <v>526672</v>
      </c>
      <c r="L145" s="26">
        <v>19487</v>
      </c>
      <c r="M145" s="26" t="s">
        <v>525</v>
      </c>
      <c r="N145" s="31">
        <v>0.25171296296296297</v>
      </c>
      <c r="O145" s="26" t="s">
        <v>531</v>
      </c>
      <c r="P145" s="26" t="s">
        <v>526</v>
      </c>
      <c r="Q145" s="26" t="s">
        <v>527</v>
      </c>
      <c r="R145" s="32"/>
      <c r="S145" s="26" t="b">
        <v>0</v>
      </c>
      <c r="T145" s="32"/>
      <c r="U145" s="26" t="b">
        <v>1</v>
      </c>
    </row>
    <row r="146" spans="1:21" ht="16" x14ac:dyDescent="0.2">
      <c r="A146" s="25">
        <v>6982</v>
      </c>
      <c r="B146" s="26" t="s">
        <v>550</v>
      </c>
      <c r="C146" s="28">
        <v>45981</v>
      </c>
      <c r="D146" s="26" t="s">
        <v>589</v>
      </c>
      <c r="E146" s="26">
        <v>13.92</v>
      </c>
      <c r="F146" s="26" t="s">
        <v>8</v>
      </c>
      <c r="G146" s="26">
        <v>13.92</v>
      </c>
      <c r="H146" s="26" t="s">
        <v>8</v>
      </c>
      <c r="I146" s="26" t="s">
        <v>575</v>
      </c>
      <c r="J146" s="26" t="s">
        <v>524</v>
      </c>
      <c r="K146" s="26">
        <v>526684</v>
      </c>
      <c r="L146" s="26">
        <v>13180</v>
      </c>
      <c r="M146" s="26" t="s">
        <v>525</v>
      </c>
      <c r="N146" s="31">
        <v>0.40461805555555558</v>
      </c>
      <c r="O146" s="32"/>
      <c r="P146" s="26" t="s">
        <v>526</v>
      </c>
      <c r="Q146" s="26" t="s">
        <v>527</v>
      </c>
      <c r="R146" s="32"/>
      <c r="S146" s="26" t="b">
        <v>0</v>
      </c>
      <c r="T146" s="32"/>
      <c r="U146" s="26" t="b">
        <v>1</v>
      </c>
    </row>
    <row r="147" spans="1:21" ht="16" x14ac:dyDescent="0.2">
      <c r="A147" s="25">
        <v>6982</v>
      </c>
      <c r="B147" s="26" t="s">
        <v>521</v>
      </c>
      <c r="C147" s="28">
        <v>45981</v>
      </c>
      <c r="D147" s="30" t="s">
        <v>522</v>
      </c>
      <c r="E147" s="26">
        <v>36.99</v>
      </c>
      <c r="F147" s="26" t="s">
        <v>8</v>
      </c>
      <c r="G147" s="26">
        <v>36.99</v>
      </c>
      <c r="H147" s="26" t="s">
        <v>8</v>
      </c>
      <c r="I147" s="26" t="s">
        <v>523</v>
      </c>
      <c r="J147" s="26" t="s">
        <v>524</v>
      </c>
      <c r="K147" s="26">
        <v>526702</v>
      </c>
      <c r="L147" s="26">
        <v>6559</v>
      </c>
      <c r="M147" s="26" t="s">
        <v>525</v>
      </c>
      <c r="N147" s="31">
        <v>0.93484953703703699</v>
      </c>
      <c r="O147" s="32"/>
      <c r="P147" s="26" t="s">
        <v>526</v>
      </c>
      <c r="Q147" s="26" t="s">
        <v>527</v>
      </c>
      <c r="R147" s="32"/>
      <c r="S147" s="26" t="b">
        <v>0</v>
      </c>
      <c r="T147" s="32"/>
      <c r="U147" s="26" t="b">
        <v>1</v>
      </c>
    </row>
    <row r="148" spans="1:21" ht="16" x14ac:dyDescent="0.2">
      <c r="A148" s="25">
        <v>6982</v>
      </c>
      <c r="B148" s="26" t="s">
        <v>521</v>
      </c>
      <c r="C148" s="28">
        <v>45980</v>
      </c>
      <c r="D148" s="30" t="s">
        <v>522</v>
      </c>
      <c r="E148" s="26">
        <v>14.99</v>
      </c>
      <c r="F148" s="26" t="s">
        <v>8</v>
      </c>
      <c r="G148" s="26">
        <v>14.99</v>
      </c>
      <c r="H148" s="26" t="s">
        <v>8</v>
      </c>
      <c r="I148" s="26" t="s">
        <v>523</v>
      </c>
      <c r="J148" s="26" t="s">
        <v>524</v>
      </c>
      <c r="K148" s="26">
        <v>526633</v>
      </c>
      <c r="L148" s="26">
        <v>1757</v>
      </c>
      <c r="M148" s="26" t="s">
        <v>525</v>
      </c>
      <c r="N148" s="31">
        <v>9.1701388888888888E-2</v>
      </c>
      <c r="O148" s="26" t="s">
        <v>531</v>
      </c>
      <c r="P148" s="26" t="s">
        <v>526</v>
      </c>
      <c r="Q148" s="26" t="s">
        <v>527</v>
      </c>
      <c r="R148" s="32"/>
      <c r="S148" s="26" t="b">
        <v>0</v>
      </c>
      <c r="T148" s="32"/>
      <c r="U148" s="26" t="b">
        <v>1</v>
      </c>
    </row>
    <row r="149" spans="1:21" ht="16" x14ac:dyDescent="0.2">
      <c r="A149" s="25">
        <v>6982</v>
      </c>
      <c r="B149" s="26" t="s">
        <v>560</v>
      </c>
      <c r="C149" s="28">
        <v>45980</v>
      </c>
      <c r="D149" s="30" t="s">
        <v>590</v>
      </c>
      <c r="E149" s="26">
        <v>8.81</v>
      </c>
      <c r="F149" s="26" t="s">
        <v>8</v>
      </c>
      <c r="G149" s="26">
        <v>10</v>
      </c>
      <c r="H149" s="26" t="s">
        <v>534</v>
      </c>
      <c r="I149" s="26" t="s">
        <v>535</v>
      </c>
      <c r="J149" s="26" t="s">
        <v>524</v>
      </c>
      <c r="K149" s="26">
        <v>526659</v>
      </c>
      <c r="L149" s="26">
        <v>68498</v>
      </c>
      <c r="M149" s="26" t="s">
        <v>525</v>
      </c>
      <c r="N149" s="31">
        <v>0.76278935185185182</v>
      </c>
      <c r="O149" s="32"/>
      <c r="P149" s="26" t="s">
        <v>526</v>
      </c>
      <c r="Q149" s="26" t="s">
        <v>527</v>
      </c>
      <c r="R149" s="32"/>
      <c r="S149" s="26" t="b">
        <v>0</v>
      </c>
      <c r="T149" s="32"/>
      <c r="U149" s="26" t="b">
        <v>1</v>
      </c>
    </row>
    <row r="150" spans="1:21" ht="16" x14ac:dyDescent="0.2">
      <c r="A150" s="25">
        <v>6982</v>
      </c>
      <c r="B150" s="26" t="s">
        <v>521</v>
      </c>
      <c r="C150" s="28">
        <v>45979</v>
      </c>
      <c r="D150" s="30" t="s">
        <v>522</v>
      </c>
      <c r="E150" s="26">
        <v>7.99</v>
      </c>
      <c r="F150" s="26" t="s">
        <v>8</v>
      </c>
      <c r="G150" s="26">
        <v>7.99</v>
      </c>
      <c r="H150" s="26" t="s">
        <v>8</v>
      </c>
      <c r="I150" s="26" t="s">
        <v>523</v>
      </c>
      <c r="J150" s="26" t="s">
        <v>524</v>
      </c>
      <c r="K150" s="26">
        <v>526618</v>
      </c>
      <c r="L150" s="26">
        <v>16623</v>
      </c>
      <c r="M150" s="26" t="s">
        <v>525</v>
      </c>
      <c r="N150" s="31">
        <v>0.42271990740740745</v>
      </c>
      <c r="O150" s="32"/>
      <c r="P150" s="26" t="s">
        <v>526</v>
      </c>
      <c r="Q150" s="26" t="s">
        <v>527</v>
      </c>
      <c r="R150" s="32"/>
      <c r="S150" s="26" t="b">
        <v>0</v>
      </c>
      <c r="T150" s="32"/>
      <c r="U150" s="26" t="b">
        <v>1</v>
      </c>
    </row>
    <row r="151" spans="1:21" ht="16" x14ac:dyDescent="0.2">
      <c r="A151" s="25">
        <v>6982</v>
      </c>
      <c r="B151" s="26" t="s">
        <v>521</v>
      </c>
      <c r="C151" s="28">
        <v>45979</v>
      </c>
      <c r="D151" s="30" t="s">
        <v>522</v>
      </c>
      <c r="E151" s="26">
        <v>3.49</v>
      </c>
      <c r="F151" s="26" t="s">
        <v>8</v>
      </c>
      <c r="G151" s="26">
        <v>3.49</v>
      </c>
      <c r="H151" s="26" t="s">
        <v>8</v>
      </c>
      <c r="I151" s="26" t="s">
        <v>523</v>
      </c>
      <c r="J151" s="26" t="s">
        <v>524</v>
      </c>
      <c r="K151" s="26">
        <v>526618</v>
      </c>
      <c r="L151" s="26">
        <v>24310</v>
      </c>
      <c r="M151" s="26" t="s">
        <v>525</v>
      </c>
      <c r="N151" s="31">
        <v>0.61708333333333332</v>
      </c>
      <c r="O151" s="26" t="s">
        <v>531</v>
      </c>
      <c r="P151" s="26" t="s">
        <v>526</v>
      </c>
      <c r="Q151" s="26" t="s">
        <v>527</v>
      </c>
      <c r="R151" s="32"/>
      <c r="S151" s="26" t="b">
        <v>0</v>
      </c>
      <c r="T151" s="32"/>
      <c r="U151" s="26" t="b">
        <v>1</v>
      </c>
    </row>
    <row r="152" spans="1:21" ht="16" x14ac:dyDescent="0.2">
      <c r="A152" s="25">
        <v>6982</v>
      </c>
      <c r="B152" s="26" t="s">
        <v>528</v>
      </c>
      <c r="C152" s="28">
        <v>45979</v>
      </c>
      <c r="D152" s="26" t="s">
        <v>586</v>
      </c>
      <c r="E152" s="26">
        <v>144.29</v>
      </c>
      <c r="F152" s="26" t="s">
        <v>8</v>
      </c>
      <c r="G152" s="26">
        <v>144.29</v>
      </c>
      <c r="H152" s="26" t="s">
        <v>8</v>
      </c>
      <c r="I152" s="26" t="s">
        <v>587</v>
      </c>
      <c r="J152" s="26" t="s">
        <v>524</v>
      </c>
      <c r="K152" s="26">
        <v>526618</v>
      </c>
      <c r="L152" s="26">
        <v>42372</v>
      </c>
      <c r="M152" s="26" t="s">
        <v>525</v>
      </c>
      <c r="N152" s="31">
        <v>0.72223379629629625</v>
      </c>
      <c r="O152" s="32"/>
      <c r="P152" s="26" t="s">
        <v>526</v>
      </c>
      <c r="Q152" s="26" t="s">
        <v>527</v>
      </c>
      <c r="R152" s="32"/>
      <c r="S152" s="26" t="b">
        <v>0</v>
      </c>
      <c r="T152" s="32"/>
      <c r="U152" s="26" t="b">
        <v>1</v>
      </c>
    </row>
    <row r="153" spans="1:21" ht="16" x14ac:dyDescent="0.2">
      <c r="A153" s="25">
        <v>6982</v>
      </c>
      <c r="B153" s="26" t="s">
        <v>541</v>
      </c>
      <c r="C153" s="28">
        <v>45979</v>
      </c>
      <c r="D153" s="26" t="s">
        <v>640</v>
      </c>
      <c r="E153" s="26">
        <v>33.840000000000003</v>
      </c>
      <c r="F153" s="26" t="s">
        <v>8</v>
      </c>
      <c r="G153" s="26">
        <v>33.840000000000003</v>
      </c>
      <c r="H153" s="26" t="s">
        <v>8</v>
      </c>
      <c r="I153" s="26" t="s">
        <v>641</v>
      </c>
      <c r="J153" s="26" t="s">
        <v>524</v>
      </c>
      <c r="K153" s="26">
        <v>526620</v>
      </c>
      <c r="L153" s="26">
        <v>47305</v>
      </c>
      <c r="M153" s="26" t="s">
        <v>525</v>
      </c>
      <c r="N153" s="31">
        <v>0.89973379629629635</v>
      </c>
      <c r="O153" s="26" t="s">
        <v>531</v>
      </c>
      <c r="P153" s="26" t="s">
        <v>526</v>
      </c>
      <c r="Q153" s="26" t="s">
        <v>527</v>
      </c>
      <c r="R153" s="32"/>
      <c r="S153" s="26" t="b">
        <v>0</v>
      </c>
      <c r="T153" s="32"/>
      <c r="U153" s="26" t="b">
        <v>1</v>
      </c>
    </row>
    <row r="154" spans="1:21" ht="16" x14ac:dyDescent="0.2">
      <c r="A154" s="25">
        <v>6982</v>
      </c>
      <c r="B154" s="26" t="s">
        <v>521</v>
      </c>
      <c r="C154" s="28">
        <v>45978</v>
      </c>
      <c r="D154" s="30" t="s">
        <v>522</v>
      </c>
      <c r="E154" s="26">
        <v>7.99</v>
      </c>
      <c r="F154" s="26" t="s">
        <v>8</v>
      </c>
      <c r="G154" s="26">
        <v>7.99</v>
      </c>
      <c r="H154" s="26" t="s">
        <v>8</v>
      </c>
      <c r="I154" s="26" t="s">
        <v>523</v>
      </c>
      <c r="J154" s="26" t="s">
        <v>524</v>
      </c>
      <c r="K154" s="26">
        <v>526550</v>
      </c>
      <c r="L154" s="26">
        <v>6576</v>
      </c>
      <c r="M154" s="26" t="s">
        <v>525</v>
      </c>
      <c r="N154" s="31">
        <v>0.17694444444444446</v>
      </c>
      <c r="O154" s="32"/>
      <c r="P154" s="26" t="s">
        <v>526</v>
      </c>
      <c r="Q154" s="26" t="s">
        <v>527</v>
      </c>
      <c r="R154" s="32"/>
      <c r="S154" s="26" t="b">
        <v>0</v>
      </c>
      <c r="T154" s="32"/>
      <c r="U154" s="26" t="b">
        <v>1</v>
      </c>
    </row>
    <row r="155" spans="1:21" ht="16" x14ac:dyDescent="0.2">
      <c r="A155" s="25">
        <v>6982</v>
      </c>
      <c r="B155" s="26" t="s">
        <v>550</v>
      </c>
      <c r="C155" s="28">
        <v>45978</v>
      </c>
      <c r="D155" s="26" t="s">
        <v>594</v>
      </c>
      <c r="E155" s="26">
        <v>7.02</v>
      </c>
      <c r="F155" s="26" t="s">
        <v>8</v>
      </c>
      <c r="G155" s="26">
        <v>8</v>
      </c>
      <c r="H155" s="26" t="s">
        <v>534</v>
      </c>
      <c r="I155" s="26" t="s">
        <v>535</v>
      </c>
      <c r="J155" s="26" t="s">
        <v>524</v>
      </c>
      <c r="K155" s="26">
        <v>526562</v>
      </c>
      <c r="L155" s="26">
        <v>13421</v>
      </c>
      <c r="M155" s="26" t="s">
        <v>525</v>
      </c>
      <c r="N155" s="31">
        <v>0.48206018518518517</v>
      </c>
      <c r="O155" s="32"/>
      <c r="P155" s="26" t="s">
        <v>526</v>
      </c>
      <c r="Q155" s="26" t="s">
        <v>527</v>
      </c>
      <c r="R155" s="32"/>
      <c r="S155" s="26" t="b">
        <v>0</v>
      </c>
      <c r="T155" s="32"/>
      <c r="U155" s="26" t="b">
        <v>1</v>
      </c>
    </row>
    <row r="156" spans="1:21" ht="16" x14ac:dyDescent="0.2">
      <c r="A156" s="25">
        <v>6982</v>
      </c>
      <c r="B156" s="26" t="s">
        <v>521</v>
      </c>
      <c r="C156" s="28">
        <v>45977</v>
      </c>
      <c r="D156" s="30" t="s">
        <v>522</v>
      </c>
      <c r="E156" s="26">
        <v>33.99</v>
      </c>
      <c r="F156" s="26" t="s">
        <v>8</v>
      </c>
      <c r="G156" s="26">
        <v>33.99</v>
      </c>
      <c r="H156" s="26" t="s">
        <v>8</v>
      </c>
      <c r="I156" s="26" t="s">
        <v>523</v>
      </c>
      <c r="J156" s="26" t="s">
        <v>524</v>
      </c>
      <c r="K156" s="26">
        <v>526532</v>
      </c>
      <c r="L156" s="26">
        <v>28480</v>
      </c>
      <c r="M156" s="26" t="s">
        <v>525</v>
      </c>
      <c r="N156" s="31">
        <v>0.51702546296296303</v>
      </c>
      <c r="O156" s="32"/>
      <c r="P156" s="26" t="s">
        <v>526</v>
      </c>
      <c r="Q156" s="26" t="s">
        <v>527</v>
      </c>
      <c r="R156" s="32"/>
      <c r="S156" s="26" t="b">
        <v>0</v>
      </c>
      <c r="T156" s="32"/>
      <c r="U156" s="26" t="b">
        <v>1</v>
      </c>
    </row>
    <row r="157" spans="1:21" ht="16" x14ac:dyDescent="0.2">
      <c r="A157" s="25">
        <v>6982</v>
      </c>
      <c r="B157" s="26" t="s">
        <v>521</v>
      </c>
      <c r="C157" s="28">
        <v>45977</v>
      </c>
      <c r="D157" s="30" t="s">
        <v>522</v>
      </c>
      <c r="E157" s="26">
        <v>7.99</v>
      </c>
      <c r="F157" s="26" t="s">
        <v>8</v>
      </c>
      <c r="G157" s="26">
        <v>7.99</v>
      </c>
      <c r="H157" s="26" t="s">
        <v>8</v>
      </c>
      <c r="I157" s="26" t="s">
        <v>523</v>
      </c>
      <c r="J157" s="26" t="s">
        <v>524</v>
      </c>
      <c r="K157" s="26">
        <v>526532</v>
      </c>
      <c r="L157" s="26">
        <v>31563</v>
      </c>
      <c r="M157" s="26" t="s">
        <v>525</v>
      </c>
      <c r="N157" s="31">
        <v>0.57982638888888893</v>
      </c>
      <c r="O157" s="32"/>
      <c r="P157" s="26" t="s">
        <v>526</v>
      </c>
      <c r="Q157" s="26" t="s">
        <v>527</v>
      </c>
      <c r="R157" s="32"/>
      <c r="S157" s="26" t="b">
        <v>0</v>
      </c>
      <c r="T157" s="32"/>
      <c r="U157" s="26" t="b">
        <v>1</v>
      </c>
    </row>
    <row r="158" spans="1:21" ht="16" x14ac:dyDescent="0.2">
      <c r="A158" s="25">
        <v>6982</v>
      </c>
      <c r="B158" s="26" t="s">
        <v>521</v>
      </c>
      <c r="C158" s="28">
        <v>45977</v>
      </c>
      <c r="D158" s="30" t="s">
        <v>522</v>
      </c>
      <c r="E158" s="26">
        <v>7.49</v>
      </c>
      <c r="F158" s="26" t="s">
        <v>8</v>
      </c>
      <c r="G158" s="26">
        <v>7.49</v>
      </c>
      <c r="H158" s="26" t="s">
        <v>8</v>
      </c>
      <c r="I158" s="26" t="s">
        <v>523</v>
      </c>
      <c r="J158" s="26" t="s">
        <v>524</v>
      </c>
      <c r="K158" s="26">
        <v>526532</v>
      </c>
      <c r="L158" s="26">
        <v>32901</v>
      </c>
      <c r="M158" s="26" t="s">
        <v>525</v>
      </c>
      <c r="N158" s="31">
        <v>0.60888888888888892</v>
      </c>
      <c r="O158" s="32"/>
      <c r="P158" s="26" t="s">
        <v>526</v>
      </c>
      <c r="Q158" s="26" t="s">
        <v>527</v>
      </c>
      <c r="R158" s="32"/>
      <c r="S158" s="26" t="b">
        <v>0</v>
      </c>
      <c r="T158" s="32"/>
      <c r="U158" s="26" t="b">
        <v>1</v>
      </c>
    </row>
    <row r="159" spans="1:21" ht="16" x14ac:dyDescent="0.2">
      <c r="A159" s="25">
        <v>6982</v>
      </c>
      <c r="B159" s="26" t="s">
        <v>521</v>
      </c>
      <c r="C159" s="28">
        <v>45976</v>
      </c>
      <c r="D159" s="26" t="s">
        <v>642</v>
      </c>
      <c r="E159" s="26">
        <v>11.99</v>
      </c>
      <c r="F159" s="26" t="s">
        <v>8</v>
      </c>
      <c r="G159" s="26">
        <v>11.99</v>
      </c>
      <c r="H159" s="26" t="s">
        <v>8</v>
      </c>
      <c r="I159" s="26" t="s">
        <v>602</v>
      </c>
      <c r="J159" s="26" t="s">
        <v>524</v>
      </c>
      <c r="K159" s="26">
        <v>526500</v>
      </c>
      <c r="L159" s="26">
        <v>33367</v>
      </c>
      <c r="M159" s="26" t="s">
        <v>525</v>
      </c>
      <c r="N159" s="31">
        <v>0.68005787037037047</v>
      </c>
      <c r="O159" s="32"/>
      <c r="P159" s="26" t="s">
        <v>526</v>
      </c>
      <c r="Q159" s="26" t="s">
        <v>527</v>
      </c>
      <c r="R159" s="32"/>
      <c r="S159" s="26" t="b">
        <v>0</v>
      </c>
      <c r="T159" s="32"/>
      <c r="U159" s="26" t="b">
        <v>1</v>
      </c>
    </row>
    <row r="160" spans="1:21" ht="16" x14ac:dyDescent="0.2">
      <c r="A160" s="25">
        <v>6982</v>
      </c>
      <c r="B160" s="26" t="s">
        <v>521</v>
      </c>
      <c r="C160" s="28">
        <v>45975</v>
      </c>
      <c r="D160" s="30" t="s">
        <v>522</v>
      </c>
      <c r="E160" s="26">
        <v>5.99</v>
      </c>
      <c r="F160" s="26" t="s">
        <v>8</v>
      </c>
      <c r="G160" s="26">
        <v>5.99</v>
      </c>
      <c r="H160" s="26" t="s">
        <v>8</v>
      </c>
      <c r="I160" s="26" t="s">
        <v>523</v>
      </c>
      <c r="J160" s="26" t="s">
        <v>524</v>
      </c>
      <c r="K160" s="26">
        <v>526462</v>
      </c>
      <c r="L160" s="26">
        <v>21305</v>
      </c>
      <c r="M160" s="26" t="s">
        <v>525</v>
      </c>
      <c r="N160" s="31">
        <v>0.54041666666666666</v>
      </c>
      <c r="O160" s="26" t="s">
        <v>531</v>
      </c>
      <c r="P160" s="26" t="s">
        <v>526</v>
      </c>
      <c r="Q160" s="26" t="s">
        <v>527</v>
      </c>
      <c r="R160" s="32"/>
      <c r="S160" s="26" t="b">
        <v>0</v>
      </c>
      <c r="T160" s="32"/>
      <c r="U160" s="26" t="b">
        <v>1</v>
      </c>
    </row>
    <row r="161" spans="1:21" ht="16" x14ac:dyDescent="0.2">
      <c r="A161" s="25">
        <v>6982</v>
      </c>
      <c r="B161" s="26" t="s">
        <v>604</v>
      </c>
      <c r="C161" s="28">
        <v>45975</v>
      </c>
      <c r="D161" s="30" t="s">
        <v>605</v>
      </c>
      <c r="E161" s="26">
        <v>15.98</v>
      </c>
      <c r="F161" s="26" t="s">
        <v>8</v>
      </c>
      <c r="G161" s="26">
        <v>18.14</v>
      </c>
      <c r="H161" s="26" t="s">
        <v>534</v>
      </c>
      <c r="I161" s="26" t="s">
        <v>539</v>
      </c>
      <c r="J161" s="26" t="s">
        <v>524</v>
      </c>
      <c r="K161" s="26">
        <v>526462</v>
      </c>
      <c r="L161" s="26">
        <v>76260</v>
      </c>
      <c r="M161" s="26" t="s">
        <v>525</v>
      </c>
      <c r="N161" s="31">
        <v>0.59172453703703709</v>
      </c>
      <c r="O161" s="32"/>
      <c r="P161" s="26" t="s">
        <v>526</v>
      </c>
      <c r="Q161" s="26" t="s">
        <v>527</v>
      </c>
      <c r="R161" s="32"/>
      <c r="S161" s="26" t="b">
        <v>0</v>
      </c>
      <c r="T161" s="32"/>
      <c r="U161" s="26" t="b">
        <v>1</v>
      </c>
    </row>
    <row r="162" spans="1:21" ht="16" x14ac:dyDescent="0.2">
      <c r="A162" s="25">
        <v>6982</v>
      </c>
      <c r="B162" s="26" t="s">
        <v>563</v>
      </c>
      <c r="C162" s="28">
        <v>45974</v>
      </c>
      <c r="D162" s="26" t="s">
        <v>607</v>
      </c>
      <c r="E162" s="26">
        <v>22.05</v>
      </c>
      <c r="F162" s="26" t="s">
        <v>8</v>
      </c>
      <c r="G162" s="26">
        <v>25</v>
      </c>
      <c r="H162" s="26" t="s">
        <v>534</v>
      </c>
      <c r="I162" s="26" t="s">
        <v>535</v>
      </c>
      <c r="J162" s="26" t="s">
        <v>524</v>
      </c>
      <c r="K162" s="26">
        <v>526407</v>
      </c>
      <c r="L162" s="26">
        <v>2404</v>
      </c>
      <c r="M162" s="26" t="s">
        <v>525</v>
      </c>
      <c r="N162" s="31">
        <v>0.44241898148148145</v>
      </c>
      <c r="O162" s="32"/>
      <c r="P162" s="26" t="s">
        <v>526</v>
      </c>
      <c r="Q162" s="26" t="s">
        <v>527</v>
      </c>
      <c r="R162" s="32"/>
      <c r="S162" s="26" t="b">
        <v>0</v>
      </c>
      <c r="T162" s="32"/>
      <c r="U162" s="26" t="b">
        <v>1</v>
      </c>
    </row>
    <row r="163" spans="1:21" ht="16" x14ac:dyDescent="0.2">
      <c r="A163" s="25">
        <v>6982</v>
      </c>
      <c r="B163" s="26" t="s">
        <v>550</v>
      </c>
      <c r="C163" s="28">
        <v>45974</v>
      </c>
      <c r="D163" s="26" t="s">
        <v>608</v>
      </c>
      <c r="E163" s="26">
        <v>13.22</v>
      </c>
      <c r="F163" s="26" t="s">
        <v>8</v>
      </c>
      <c r="G163" s="26">
        <v>15</v>
      </c>
      <c r="H163" s="26" t="s">
        <v>534</v>
      </c>
      <c r="I163" s="26" t="s">
        <v>598</v>
      </c>
      <c r="J163" s="26" t="s">
        <v>524</v>
      </c>
      <c r="K163" s="26">
        <v>526407</v>
      </c>
      <c r="L163" s="26">
        <v>8848</v>
      </c>
      <c r="M163" s="26" t="s">
        <v>525</v>
      </c>
      <c r="N163" s="31">
        <v>0.49934027777777779</v>
      </c>
      <c r="O163" s="32"/>
      <c r="P163" s="26" t="s">
        <v>526</v>
      </c>
      <c r="Q163" s="26" t="s">
        <v>527</v>
      </c>
      <c r="R163" s="32"/>
      <c r="S163" s="26" t="b">
        <v>0</v>
      </c>
      <c r="T163" s="32"/>
      <c r="U163" s="26" t="b">
        <v>1</v>
      </c>
    </row>
    <row r="164" spans="1:21" ht="16" x14ac:dyDescent="0.2">
      <c r="A164" s="25">
        <v>6982</v>
      </c>
      <c r="B164" s="26" t="s">
        <v>521</v>
      </c>
      <c r="C164" s="28">
        <v>45974</v>
      </c>
      <c r="D164" s="30" t="s">
        <v>522</v>
      </c>
      <c r="E164" s="26">
        <v>4.8600000000000003</v>
      </c>
      <c r="F164" s="26" t="s">
        <v>8</v>
      </c>
      <c r="G164" s="26">
        <v>4.8600000000000003</v>
      </c>
      <c r="H164" s="26" t="s">
        <v>8</v>
      </c>
      <c r="I164" s="26" t="s">
        <v>523</v>
      </c>
      <c r="J164" s="26" t="s">
        <v>524</v>
      </c>
      <c r="K164" s="26">
        <v>526420</v>
      </c>
      <c r="L164" s="26">
        <v>18104</v>
      </c>
      <c r="M164" s="26" t="s">
        <v>525</v>
      </c>
      <c r="N164" s="31">
        <v>0.45534722222222218</v>
      </c>
      <c r="O164" s="32"/>
      <c r="P164" s="26" t="s">
        <v>526</v>
      </c>
      <c r="Q164" s="26" t="s">
        <v>527</v>
      </c>
      <c r="R164" s="32"/>
      <c r="S164" s="26" t="b">
        <v>0</v>
      </c>
      <c r="T164" s="32"/>
      <c r="U164" s="26" t="b">
        <v>1</v>
      </c>
    </row>
    <row r="165" spans="1:21" ht="16" x14ac:dyDescent="0.2">
      <c r="A165" s="25">
        <v>6982</v>
      </c>
      <c r="B165" s="26" t="s">
        <v>528</v>
      </c>
      <c r="C165" s="28">
        <v>45974</v>
      </c>
      <c r="D165" s="26" t="s">
        <v>643</v>
      </c>
      <c r="E165" s="26">
        <v>155.5</v>
      </c>
      <c r="F165" s="26" t="s">
        <v>8</v>
      </c>
      <c r="G165" s="26">
        <v>155.5</v>
      </c>
      <c r="H165" s="26" t="s">
        <v>8</v>
      </c>
      <c r="I165" s="26" t="s">
        <v>600</v>
      </c>
      <c r="J165" s="26" t="s">
        <v>524</v>
      </c>
      <c r="K165" s="26">
        <v>526427</v>
      </c>
      <c r="L165" s="26">
        <v>43796</v>
      </c>
      <c r="M165" s="26" t="s">
        <v>554</v>
      </c>
      <c r="N165" s="31">
        <v>0.81891203703703708</v>
      </c>
      <c r="O165" s="26" t="s">
        <v>531</v>
      </c>
      <c r="P165" s="26" t="s">
        <v>526</v>
      </c>
      <c r="Q165" s="26" t="s">
        <v>527</v>
      </c>
      <c r="R165" s="32"/>
      <c r="S165" s="26" t="b">
        <v>0</v>
      </c>
      <c r="T165" s="32"/>
      <c r="U165" s="26" t="b">
        <v>1</v>
      </c>
    </row>
    <row r="166" spans="1:21" ht="16" x14ac:dyDescent="0.2">
      <c r="A166" s="25">
        <v>6982</v>
      </c>
      <c r="B166" s="26" t="s">
        <v>521</v>
      </c>
      <c r="C166" s="28">
        <v>45973</v>
      </c>
      <c r="D166" s="30" t="s">
        <v>522</v>
      </c>
      <c r="E166" s="26">
        <v>14.99</v>
      </c>
      <c r="F166" s="26" t="s">
        <v>8</v>
      </c>
      <c r="G166" s="26">
        <v>14.99</v>
      </c>
      <c r="H166" s="26" t="s">
        <v>8</v>
      </c>
      <c r="I166" s="26" t="s">
        <v>523</v>
      </c>
      <c r="J166" s="26" t="s">
        <v>524</v>
      </c>
      <c r="K166" s="26">
        <v>526357</v>
      </c>
      <c r="L166" s="26">
        <v>1907</v>
      </c>
      <c r="M166" s="26" t="s">
        <v>525</v>
      </c>
      <c r="N166" s="31">
        <v>9.1712962962962954E-2</v>
      </c>
      <c r="O166" s="26" t="s">
        <v>531</v>
      </c>
      <c r="P166" s="26" t="s">
        <v>526</v>
      </c>
      <c r="Q166" s="26" t="s">
        <v>527</v>
      </c>
      <c r="R166" s="32"/>
      <c r="S166" s="26" t="b">
        <v>0</v>
      </c>
      <c r="T166" s="32"/>
      <c r="U166" s="26" t="b">
        <v>1</v>
      </c>
    </row>
    <row r="167" spans="1:21" ht="16" x14ac:dyDescent="0.2">
      <c r="A167" s="25">
        <v>6982</v>
      </c>
      <c r="B167" s="26" t="s">
        <v>521</v>
      </c>
      <c r="C167" s="28">
        <v>45973</v>
      </c>
      <c r="D167" s="30" t="s">
        <v>522</v>
      </c>
      <c r="E167" s="26">
        <v>13.99</v>
      </c>
      <c r="F167" s="26" t="s">
        <v>8</v>
      </c>
      <c r="G167" s="26">
        <v>13.99</v>
      </c>
      <c r="H167" s="26" t="s">
        <v>8</v>
      </c>
      <c r="I167" s="26" t="s">
        <v>523</v>
      </c>
      <c r="J167" s="26" t="s">
        <v>524</v>
      </c>
      <c r="K167" s="26">
        <v>526357</v>
      </c>
      <c r="L167" s="26">
        <v>5021</v>
      </c>
      <c r="M167" s="26" t="s">
        <v>525</v>
      </c>
      <c r="N167" s="31">
        <v>0.19371527777777778</v>
      </c>
      <c r="O167" s="32"/>
      <c r="P167" s="26" t="s">
        <v>526</v>
      </c>
      <c r="Q167" s="26" t="s">
        <v>527</v>
      </c>
      <c r="R167" s="32"/>
      <c r="S167" s="26" t="b">
        <v>0</v>
      </c>
      <c r="T167" s="32"/>
      <c r="U167" s="26" t="b">
        <v>1</v>
      </c>
    </row>
    <row r="168" spans="1:21" ht="16" x14ac:dyDescent="0.2">
      <c r="A168" s="25">
        <v>6982</v>
      </c>
      <c r="B168" s="26" t="s">
        <v>521</v>
      </c>
      <c r="C168" s="28">
        <v>45973</v>
      </c>
      <c r="D168" s="30" t="s">
        <v>522</v>
      </c>
      <c r="E168" s="26">
        <v>25.95</v>
      </c>
      <c r="F168" s="26" t="s">
        <v>8</v>
      </c>
      <c r="G168" s="26">
        <v>25.95</v>
      </c>
      <c r="H168" s="26" t="s">
        <v>8</v>
      </c>
      <c r="I168" s="26" t="s">
        <v>523</v>
      </c>
      <c r="J168" s="26" t="s">
        <v>524</v>
      </c>
      <c r="K168" s="26">
        <v>526357</v>
      </c>
      <c r="L168" s="26">
        <v>6216</v>
      </c>
      <c r="M168" s="26" t="s">
        <v>525</v>
      </c>
      <c r="N168" s="31">
        <v>0.22603009259259257</v>
      </c>
      <c r="O168" s="32"/>
      <c r="P168" s="26" t="s">
        <v>526</v>
      </c>
      <c r="Q168" s="26" t="s">
        <v>527</v>
      </c>
      <c r="R168" s="32"/>
      <c r="S168" s="26" t="b">
        <v>0</v>
      </c>
      <c r="T168" s="32"/>
      <c r="U168" s="26" t="b">
        <v>1</v>
      </c>
    </row>
    <row r="169" spans="1:21" ht="16" x14ac:dyDescent="0.2">
      <c r="A169" s="25">
        <v>6982</v>
      </c>
      <c r="B169" s="26" t="s">
        <v>528</v>
      </c>
      <c r="C169" s="28">
        <v>45972</v>
      </c>
      <c r="D169" s="26" t="s">
        <v>529</v>
      </c>
      <c r="E169" s="26">
        <v>0.62</v>
      </c>
      <c r="F169" s="26" t="s">
        <v>8</v>
      </c>
      <c r="G169" s="26">
        <v>0.62</v>
      </c>
      <c r="H169" s="26" t="s">
        <v>8</v>
      </c>
      <c r="I169" s="26" t="s">
        <v>530</v>
      </c>
      <c r="J169" s="26" t="s">
        <v>524</v>
      </c>
      <c r="K169" s="26">
        <v>526307</v>
      </c>
      <c r="L169" s="26">
        <v>21624</v>
      </c>
      <c r="M169" s="26" t="s">
        <v>525</v>
      </c>
      <c r="N169" s="31">
        <v>0.23644675925925926</v>
      </c>
      <c r="O169" s="26" t="s">
        <v>531</v>
      </c>
      <c r="P169" s="26" t="s">
        <v>526</v>
      </c>
      <c r="Q169" s="26" t="s">
        <v>527</v>
      </c>
      <c r="R169" s="32"/>
      <c r="S169" s="26" t="b">
        <v>0</v>
      </c>
      <c r="T169" s="32"/>
      <c r="U169" s="26" t="b">
        <v>1</v>
      </c>
    </row>
    <row r="170" spans="1:21" ht="16" x14ac:dyDescent="0.2">
      <c r="A170" s="25">
        <v>6982</v>
      </c>
      <c r="B170" s="26" t="s">
        <v>583</v>
      </c>
      <c r="C170" s="28">
        <v>45972</v>
      </c>
      <c r="D170" s="26" t="s">
        <v>644</v>
      </c>
      <c r="E170" s="26">
        <v>8.99</v>
      </c>
      <c r="F170" s="26" t="s">
        <v>8</v>
      </c>
      <c r="G170" s="26">
        <v>8.99</v>
      </c>
      <c r="H170" s="26" t="s">
        <v>8</v>
      </c>
      <c r="I170" s="26" t="s">
        <v>565</v>
      </c>
      <c r="J170" s="26" t="s">
        <v>524</v>
      </c>
      <c r="K170" s="26">
        <v>526342</v>
      </c>
      <c r="L170" s="26">
        <v>49038</v>
      </c>
      <c r="M170" s="26" t="s">
        <v>525</v>
      </c>
      <c r="N170" s="31">
        <v>0.82081018518518523</v>
      </c>
      <c r="O170" s="32"/>
      <c r="P170" s="26" t="s">
        <v>526</v>
      </c>
      <c r="Q170" s="26" t="s">
        <v>527</v>
      </c>
      <c r="R170" s="32"/>
      <c r="S170" s="26" t="b">
        <v>0</v>
      </c>
      <c r="T170" s="32"/>
      <c r="U170" s="26" t="b">
        <v>1</v>
      </c>
    </row>
    <row r="171" spans="1:21" ht="16" x14ac:dyDescent="0.2">
      <c r="A171" s="25">
        <v>6982</v>
      </c>
      <c r="B171" s="26" t="s">
        <v>583</v>
      </c>
      <c r="C171" s="28">
        <v>45972</v>
      </c>
      <c r="D171" s="26" t="s">
        <v>645</v>
      </c>
      <c r="E171" s="26">
        <v>11.99</v>
      </c>
      <c r="F171" s="26" t="s">
        <v>8</v>
      </c>
      <c r="G171" s="26">
        <v>11.99</v>
      </c>
      <c r="H171" s="26" t="s">
        <v>8</v>
      </c>
      <c r="I171" s="26" t="s">
        <v>565</v>
      </c>
      <c r="J171" s="26" t="s">
        <v>524</v>
      </c>
      <c r="K171" s="26">
        <v>526342</v>
      </c>
      <c r="L171" s="26">
        <v>49084</v>
      </c>
      <c r="M171" s="26" t="s">
        <v>525</v>
      </c>
      <c r="N171" s="31">
        <v>0.75923611111111111</v>
      </c>
      <c r="O171" s="32"/>
      <c r="P171" s="26" t="s">
        <v>526</v>
      </c>
      <c r="Q171" s="26" t="s">
        <v>527</v>
      </c>
      <c r="R171" s="32"/>
      <c r="S171" s="26" t="b">
        <v>0</v>
      </c>
      <c r="T171" s="32"/>
      <c r="U171" s="26" t="b">
        <v>1</v>
      </c>
    </row>
    <row r="172" spans="1:21" ht="16" x14ac:dyDescent="0.2">
      <c r="A172" s="25">
        <v>6982</v>
      </c>
      <c r="B172" s="26" t="s">
        <v>583</v>
      </c>
      <c r="C172" s="28">
        <v>45972</v>
      </c>
      <c r="D172" s="26" t="s">
        <v>646</v>
      </c>
      <c r="E172" s="26">
        <v>4.49</v>
      </c>
      <c r="F172" s="26" t="s">
        <v>8</v>
      </c>
      <c r="G172" s="26">
        <v>4.49</v>
      </c>
      <c r="H172" s="26" t="s">
        <v>8</v>
      </c>
      <c r="I172" s="26" t="s">
        <v>565</v>
      </c>
      <c r="J172" s="26" t="s">
        <v>524</v>
      </c>
      <c r="K172" s="26">
        <v>526342</v>
      </c>
      <c r="L172" s="26">
        <v>49090</v>
      </c>
      <c r="M172" s="26" t="s">
        <v>525</v>
      </c>
      <c r="N172" s="31">
        <v>0.83398148148148143</v>
      </c>
      <c r="O172" s="32"/>
      <c r="P172" s="26" t="s">
        <v>526</v>
      </c>
      <c r="Q172" s="26" t="s">
        <v>527</v>
      </c>
      <c r="R172" s="32"/>
      <c r="S172" s="26" t="b">
        <v>0</v>
      </c>
      <c r="T172" s="32"/>
      <c r="U172" s="26" t="b">
        <v>1</v>
      </c>
    </row>
    <row r="173" spans="1:21" ht="16" x14ac:dyDescent="0.2">
      <c r="A173" s="25">
        <v>6982</v>
      </c>
      <c r="B173" s="26" t="s">
        <v>521</v>
      </c>
      <c r="C173" s="28">
        <v>45971</v>
      </c>
      <c r="D173" s="30" t="s">
        <v>522</v>
      </c>
      <c r="E173" s="26">
        <v>2.99</v>
      </c>
      <c r="F173" s="26" t="s">
        <v>8</v>
      </c>
      <c r="G173" s="26">
        <v>2.99</v>
      </c>
      <c r="H173" s="26" t="s">
        <v>8</v>
      </c>
      <c r="I173" s="26" t="s">
        <v>523</v>
      </c>
      <c r="J173" s="26" t="s">
        <v>524</v>
      </c>
      <c r="K173" s="26">
        <v>526277</v>
      </c>
      <c r="L173" s="26">
        <v>6960</v>
      </c>
      <c r="M173" s="26" t="s">
        <v>525</v>
      </c>
      <c r="N173" s="31">
        <v>0.18288194444444447</v>
      </c>
      <c r="O173" s="32"/>
      <c r="P173" s="26" t="s">
        <v>526</v>
      </c>
      <c r="Q173" s="26" t="s">
        <v>527</v>
      </c>
      <c r="R173" s="32"/>
      <c r="S173" s="26" t="b">
        <v>0</v>
      </c>
      <c r="T173" s="32"/>
      <c r="U173" s="26" t="b">
        <v>1</v>
      </c>
    </row>
    <row r="174" spans="1:21" ht="16" x14ac:dyDescent="0.2">
      <c r="A174" s="25">
        <v>6982</v>
      </c>
      <c r="B174" s="26" t="s">
        <v>528</v>
      </c>
      <c r="C174" s="28">
        <v>45971</v>
      </c>
      <c r="D174" s="26" t="s">
        <v>647</v>
      </c>
      <c r="E174" s="26">
        <v>37.729999999999997</v>
      </c>
      <c r="F174" s="26" t="s">
        <v>8</v>
      </c>
      <c r="G174" s="26">
        <v>37.729999999999997</v>
      </c>
      <c r="H174" s="26" t="s">
        <v>8</v>
      </c>
      <c r="I174" s="26" t="s">
        <v>587</v>
      </c>
      <c r="J174" s="26" t="s">
        <v>524</v>
      </c>
      <c r="K174" s="26">
        <v>526304</v>
      </c>
      <c r="L174" s="26">
        <v>24526</v>
      </c>
      <c r="M174" s="26" t="s">
        <v>554</v>
      </c>
      <c r="N174" s="31">
        <v>0.62646990740740738</v>
      </c>
      <c r="O174" s="26" t="s">
        <v>531</v>
      </c>
      <c r="P174" s="26" t="s">
        <v>526</v>
      </c>
      <c r="Q174" s="26" t="s">
        <v>527</v>
      </c>
      <c r="R174" s="32"/>
      <c r="S174" s="26" t="b">
        <v>0</v>
      </c>
      <c r="T174" s="32"/>
      <c r="U174" s="26" t="b">
        <v>1</v>
      </c>
    </row>
    <row r="175" spans="1:21" ht="16" x14ac:dyDescent="0.2">
      <c r="A175" s="25">
        <v>6982</v>
      </c>
      <c r="B175" s="26" t="s">
        <v>528</v>
      </c>
      <c r="C175" s="28">
        <v>45970</v>
      </c>
      <c r="D175" s="26" t="s">
        <v>529</v>
      </c>
      <c r="E175" s="26">
        <v>9.35</v>
      </c>
      <c r="F175" s="26" t="s">
        <v>8</v>
      </c>
      <c r="G175" s="26">
        <v>9.35</v>
      </c>
      <c r="H175" s="26" t="s">
        <v>8</v>
      </c>
      <c r="I175" s="26" t="s">
        <v>530</v>
      </c>
      <c r="J175" s="26" t="s">
        <v>524</v>
      </c>
      <c r="K175" s="26">
        <v>526232</v>
      </c>
      <c r="L175" s="26">
        <v>40698</v>
      </c>
      <c r="M175" s="26" t="s">
        <v>525</v>
      </c>
      <c r="N175" s="31">
        <v>0.2449537037037037</v>
      </c>
      <c r="O175" s="26" t="s">
        <v>531</v>
      </c>
      <c r="P175" s="26" t="s">
        <v>526</v>
      </c>
      <c r="Q175" s="26" t="s">
        <v>527</v>
      </c>
      <c r="R175" s="32"/>
      <c r="S175" s="26" t="b">
        <v>0</v>
      </c>
      <c r="T175" s="32"/>
      <c r="U175" s="26" t="b">
        <v>1</v>
      </c>
    </row>
    <row r="176" spans="1:21" ht="16" x14ac:dyDescent="0.2">
      <c r="A176" s="25">
        <v>6982</v>
      </c>
      <c r="B176" s="26" t="s">
        <v>521</v>
      </c>
      <c r="C176" s="28">
        <v>45970</v>
      </c>
      <c r="D176" s="30" t="s">
        <v>522</v>
      </c>
      <c r="E176" s="26">
        <v>7.99</v>
      </c>
      <c r="F176" s="26" t="s">
        <v>8</v>
      </c>
      <c r="G176" s="26">
        <v>7.99</v>
      </c>
      <c r="H176" s="26" t="s">
        <v>8</v>
      </c>
      <c r="I176" s="26" t="s">
        <v>523</v>
      </c>
      <c r="J176" s="26" t="s">
        <v>524</v>
      </c>
      <c r="K176" s="26">
        <v>526260</v>
      </c>
      <c r="L176" s="26">
        <v>24363</v>
      </c>
      <c r="M176" s="26" t="s">
        <v>525</v>
      </c>
      <c r="N176" s="31">
        <v>0.45276620370370368</v>
      </c>
      <c r="O176" s="26" t="s">
        <v>531</v>
      </c>
      <c r="P176" s="26" t="s">
        <v>526</v>
      </c>
      <c r="Q176" s="26" t="s">
        <v>527</v>
      </c>
      <c r="R176" s="32"/>
      <c r="S176" s="26" t="b">
        <v>0</v>
      </c>
      <c r="T176" s="32"/>
      <c r="U176" s="26" t="b">
        <v>1</v>
      </c>
    </row>
    <row r="177" spans="1:21" ht="16" x14ac:dyDescent="0.2">
      <c r="A177" s="25">
        <v>6982</v>
      </c>
      <c r="B177" s="26" t="s">
        <v>528</v>
      </c>
      <c r="C177" s="28">
        <v>45970</v>
      </c>
      <c r="D177" s="26" t="s">
        <v>647</v>
      </c>
      <c r="E177" s="26">
        <v>25.02</v>
      </c>
      <c r="F177" s="26" t="s">
        <v>8</v>
      </c>
      <c r="G177" s="26">
        <v>25.02</v>
      </c>
      <c r="H177" s="26" t="s">
        <v>8</v>
      </c>
      <c r="I177" s="26" t="s">
        <v>587</v>
      </c>
      <c r="J177" s="26" t="s">
        <v>524</v>
      </c>
      <c r="K177" s="26">
        <v>526264</v>
      </c>
      <c r="L177" s="26">
        <v>20511</v>
      </c>
      <c r="M177" s="26" t="s">
        <v>554</v>
      </c>
      <c r="N177" s="31">
        <v>0.67608796296296303</v>
      </c>
      <c r="O177" s="26" t="s">
        <v>531</v>
      </c>
      <c r="P177" s="26" t="s">
        <v>526</v>
      </c>
      <c r="Q177" s="26" t="s">
        <v>527</v>
      </c>
      <c r="R177" s="32"/>
      <c r="S177" s="26" t="b">
        <v>0</v>
      </c>
      <c r="T177" s="32"/>
      <c r="U177" s="26" t="b">
        <v>1</v>
      </c>
    </row>
    <row r="178" spans="1:21" ht="16" x14ac:dyDescent="0.2">
      <c r="A178" s="25">
        <v>6982</v>
      </c>
      <c r="B178" s="26" t="s">
        <v>521</v>
      </c>
      <c r="C178" s="28">
        <v>45969</v>
      </c>
      <c r="D178" s="30" t="s">
        <v>522</v>
      </c>
      <c r="E178" s="26">
        <v>29.99</v>
      </c>
      <c r="F178" s="26" t="s">
        <v>8</v>
      </c>
      <c r="G178" s="26">
        <v>29.99</v>
      </c>
      <c r="H178" s="26" t="s">
        <v>8</v>
      </c>
      <c r="I178" s="26" t="s">
        <v>523</v>
      </c>
      <c r="J178" s="26" t="s">
        <v>524</v>
      </c>
      <c r="K178" s="26">
        <v>526228</v>
      </c>
      <c r="L178" s="26">
        <v>6436</v>
      </c>
      <c r="M178" s="26" t="s">
        <v>525</v>
      </c>
      <c r="N178" s="31">
        <v>0.3414814814814815</v>
      </c>
      <c r="O178" s="26" t="s">
        <v>531</v>
      </c>
      <c r="P178" s="26" t="s">
        <v>526</v>
      </c>
      <c r="Q178" s="26" t="s">
        <v>527</v>
      </c>
      <c r="R178" s="32"/>
      <c r="S178" s="26" t="b">
        <v>0</v>
      </c>
      <c r="T178" s="32"/>
      <c r="U178" s="26" t="b">
        <v>1</v>
      </c>
    </row>
    <row r="179" spans="1:21" ht="16" x14ac:dyDescent="0.2">
      <c r="A179" s="25">
        <v>6982</v>
      </c>
      <c r="B179" s="26" t="s">
        <v>528</v>
      </c>
      <c r="C179" s="28">
        <v>45968</v>
      </c>
      <c r="D179" s="26" t="s">
        <v>529</v>
      </c>
      <c r="E179" s="26">
        <v>1.81</v>
      </c>
      <c r="F179" s="26" t="s">
        <v>8</v>
      </c>
      <c r="G179" s="26">
        <v>1.81</v>
      </c>
      <c r="H179" s="26" t="s">
        <v>8</v>
      </c>
      <c r="I179" s="26" t="s">
        <v>530</v>
      </c>
      <c r="J179" s="26" t="s">
        <v>524</v>
      </c>
      <c r="K179" s="26">
        <v>526157</v>
      </c>
      <c r="L179" s="26">
        <v>38929</v>
      </c>
      <c r="M179" s="26" t="s">
        <v>525</v>
      </c>
      <c r="N179" s="31">
        <v>0.20131944444444447</v>
      </c>
      <c r="O179" s="26" t="s">
        <v>531</v>
      </c>
      <c r="P179" s="26" t="s">
        <v>526</v>
      </c>
      <c r="Q179" s="26" t="s">
        <v>527</v>
      </c>
      <c r="R179" s="32"/>
      <c r="S179" s="26" t="b">
        <v>0</v>
      </c>
      <c r="T179" s="32"/>
      <c r="U179" s="26" t="b">
        <v>1</v>
      </c>
    </row>
    <row r="180" spans="1:21" ht="16" x14ac:dyDescent="0.2">
      <c r="A180" s="25">
        <v>6982</v>
      </c>
      <c r="B180" s="26" t="s">
        <v>550</v>
      </c>
      <c r="C180" s="28">
        <v>45968</v>
      </c>
      <c r="D180" s="26" t="s">
        <v>619</v>
      </c>
      <c r="E180" s="26">
        <v>6.85</v>
      </c>
      <c r="F180" s="26" t="s">
        <v>8</v>
      </c>
      <c r="G180" s="26">
        <v>7.71</v>
      </c>
      <c r="H180" s="26" t="s">
        <v>534</v>
      </c>
      <c r="I180" s="26" t="s">
        <v>535</v>
      </c>
      <c r="J180" s="26" t="s">
        <v>524</v>
      </c>
      <c r="K180" s="26">
        <v>526178</v>
      </c>
      <c r="L180" s="26">
        <v>12797</v>
      </c>
      <c r="M180" s="26" t="s">
        <v>525</v>
      </c>
      <c r="N180" s="31">
        <v>0.41453703703703698</v>
      </c>
      <c r="O180" s="32"/>
      <c r="P180" s="26" t="s">
        <v>526</v>
      </c>
      <c r="Q180" s="26" t="s">
        <v>527</v>
      </c>
      <c r="R180" s="32"/>
      <c r="S180" s="26" t="b">
        <v>0</v>
      </c>
      <c r="T180" s="32"/>
      <c r="U180" s="26" t="b">
        <v>1</v>
      </c>
    </row>
    <row r="181" spans="1:21" ht="16" x14ac:dyDescent="0.2">
      <c r="A181" s="25">
        <v>6982</v>
      </c>
      <c r="B181" s="26" t="s">
        <v>583</v>
      </c>
      <c r="C181" s="28">
        <v>45968</v>
      </c>
      <c r="D181" s="26" t="s">
        <v>648</v>
      </c>
      <c r="E181" s="26">
        <v>8.99</v>
      </c>
      <c r="F181" s="26" t="s">
        <v>8</v>
      </c>
      <c r="G181" s="26">
        <v>8.99</v>
      </c>
      <c r="H181" s="26" t="s">
        <v>8</v>
      </c>
      <c r="I181" s="26" t="s">
        <v>565</v>
      </c>
      <c r="J181" s="26" t="s">
        <v>524</v>
      </c>
      <c r="K181" s="26">
        <v>526191</v>
      </c>
      <c r="L181" s="26">
        <v>54123</v>
      </c>
      <c r="M181" s="26" t="s">
        <v>525</v>
      </c>
      <c r="N181" s="31">
        <v>0.77559027777777778</v>
      </c>
      <c r="O181" s="32"/>
      <c r="P181" s="26" t="s">
        <v>526</v>
      </c>
      <c r="Q181" s="26" t="s">
        <v>527</v>
      </c>
      <c r="R181" s="32"/>
      <c r="S181" s="26" t="b">
        <v>0</v>
      </c>
      <c r="T181" s="32"/>
      <c r="U181" s="26" t="b">
        <v>1</v>
      </c>
    </row>
    <row r="182" spans="1:21" ht="16" x14ac:dyDescent="0.2">
      <c r="A182" s="25">
        <v>6982</v>
      </c>
      <c r="B182" s="26" t="s">
        <v>521</v>
      </c>
      <c r="C182" s="28">
        <v>45968</v>
      </c>
      <c r="D182" s="30" t="s">
        <v>522</v>
      </c>
      <c r="E182" s="26">
        <v>10.99</v>
      </c>
      <c r="F182" s="26" t="s">
        <v>8</v>
      </c>
      <c r="G182" s="26">
        <v>10.99</v>
      </c>
      <c r="H182" s="26" t="s">
        <v>8</v>
      </c>
      <c r="I182" s="26" t="s">
        <v>523</v>
      </c>
      <c r="J182" s="26" t="s">
        <v>524</v>
      </c>
      <c r="K182" s="26">
        <v>526198</v>
      </c>
      <c r="L182" s="26">
        <v>7185</v>
      </c>
      <c r="M182" s="26" t="s">
        <v>525</v>
      </c>
      <c r="N182" s="31">
        <v>6.9791666666666674E-3</v>
      </c>
      <c r="O182" s="26" t="s">
        <v>531</v>
      </c>
      <c r="P182" s="26" t="s">
        <v>526</v>
      </c>
      <c r="Q182" s="26" t="s">
        <v>527</v>
      </c>
      <c r="R182" s="32"/>
      <c r="S182" s="26" t="b">
        <v>0</v>
      </c>
      <c r="T182" s="32"/>
      <c r="U182" s="26" t="b">
        <v>1</v>
      </c>
    </row>
    <row r="183" spans="1:21" ht="16" x14ac:dyDescent="0.2">
      <c r="A183" s="25">
        <v>6982</v>
      </c>
      <c r="B183" s="26" t="s">
        <v>521</v>
      </c>
      <c r="C183" s="28">
        <v>45967</v>
      </c>
      <c r="D183" s="30" t="s">
        <v>522</v>
      </c>
      <c r="E183" s="26">
        <v>3.49</v>
      </c>
      <c r="F183" s="26" t="s">
        <v>8</v>
      </c>
      <c r="G183" s="26">
        <v>3.49</v>
      </c>
      <c r="H183" s="26" t="s">
        <v>8</v>
      </c>
      <c r="I183" s="26" t="s">
        <v>523</v>
      </c>
      <c r="J183" s="26" t="s">
        <v>524</v>
      </c>
      <c r="K183" s="26">
        <v>526151</v>
      </c>
      <c r="L183" s="26">
        <v>14924</v>
      </c>
      <c r="M183" s="26" t="s">
        <v>525</v>
      </c>
      <c r="N183" s="31">
        <v>0.38695601851851852</v>
      </c>
      <c r="O183" s="26" t="s">
        <v>531</v>
      </c>
      <c r="P183" s="26" t="s">
        <v>526</v>
      </c>
      <c r="Q183" s="26" t="s">
        <v>527</v>
      </c>
      <c r="R183" s="32"/>
      <c r="S183" s="26" t="b">
        <v>0</v>
      </c>
      <c r="T183" s="32"/>
      <c r="U183" s="26" t="b">
        <v>1</v>
      </c>
    </row>
    <row r="184" spans="1:21" ht="16" x14ac:dyDescent="0.2">
      <c r="A184" s="25">
        <v>6982</v>
      </c>
      <c r="B184" s="26" t="s">
        <v>521</v>
      </c>
      <c r="C184" s="28">
        <v>45966</v>
      </c>
      <c r="D184" s="30" t="s">
        <v>522</v>
      </c>
      <c r="E184" s="26">
        <v>14.99</v>
      </c>
      <c r="F184" s="26" t="s">
        <v>8</v>
      </c>
      <c r="G184" s="26">
        <v>14.99</v>
      </c>
      <c r="H184" s="26" t="s">
        <v>8</v>
      </c>
      <c r="I184" s="26" t="s">
        <v>523</v>
      </c>
      <c r="J184" s="26" t="s">
        <v>524</v>
      </c>
      <c r="K184" s="26">
        <v>526087</v>
      </c>
      <c r="L184" s="26">
        <v>2546</v>
      </c>
      <c r="M184" s="26" t="s">
        <v>525</v>
      </c>
      <c r="N184" s="31">
        <v>9.1597222222222219E-2</v>
      </c>
      <c r="O184" s="26" t="s">
        <v>531</v>
      </c>
      <c r="P184" s="26" t="s">
        <v>526</v>
      </c>
      <c r="Q184" s="26" t="s">
        <v>527</v>
      </c>
      <c r="R184" s="32"/>
      <c r="S184" s="26" t="b">
        <v>0</v>
      </c>
      <c r="T184" s="32"/>
      <c r="U184" s="26" t="b">
        <v>1</v>
      </c>
    </row>
    <row r="185" spans="1:21" ht="16" x14ac:dyDescent="0.2">
      <c r="A185" s="25">
        <v>6982</v>
      </c>
      <c r="B185" s="26" t="s">
        <v>550</v>
      </c>
      <c r="C185" s="28">
        <v>45966</v>
      </c>
      <c r="D185" s="26" t="s">
        <v>555</v>
      </c>
      <c r="E185" s="26">
        <v>16.899999999999999</v>
      </c>
      <c r="F185" s="26" t="s">
        <v>8</v>
      </c>
      <c r="G185" s="26">
        <v>19</v>
      </c>
      <c r="H185" s="26" t="s">
        <v>534</v>
      </c>
      <c r="I185" s="26" t="s">
        <v>535</v>
      </c>
      <c r="J185" s="26" t="s">
        <v>524</v>
      </c>
      <c r="K185" s="26">
        <v>526127</v>
      </c>
      <c r="L185" s="26">
        <v>26916</v>
      </c>
      <c r="M185" s="26" t="s">
        <v>525</v>
      </c>
      <c r="N185" s="31">
        <v>5.376157407407408E-2</v>
      </c>
      <c r="O185" s="32"/>
      <c r="P185" s="26" t="s">
        <v>526</v>
      </c>
      <c r="Q185" s="26" t="s">
        <v>527</v>
      </c>
      <c r="R185" s="32"/>
      <c r="S185" s="26" t="b">
        <v>0</v>
      </c>
      <c r="T185" s="32"/>
      <c r="U185" s="26" t="b">
        <v>1</v>
      </c>
    </row>
    <row r="186" spans="1:21" ht="16" x14ac:dyDescent="0.2">
      <c r="A186" s="25">
        <v>6982</v>
      </c>
      <c r="B186" s="26" t="s">
        <v>528</v>
      </c>
      <c r="C186" s="28">
        <v>45965</v>
      </c>
      <c r="D186" s="26" t="s">
        <v>529</v>
      </c>
      <c r="E186" s="26">
        <v>3</v>
      </c>
      <c r="F186" s="26" t="s">
        <v>8</v>
      </c>
      <c r="G186" s="26">
        <v>3</v>
      </c>
      <c r="H186" s="26" t="s">
        <v>8</v>
      </c>
      <c r="I186" s="26" t="s">
        <v>530</v>
      </c>
      <c r="J186" s="26" t="s">
        <v>524</v>
      </c>
      <c r="K186" s="26">
        <v>526049</v>
      </c>
      <c r="L186" s="26">
        <v>6306</v>
      </c>
      <c r="M186" s="26" t="s">
        <v>525</v>
      </c>
      <c r="N186" s="31">
        <v>0.25090277777777775</v>
      </c>
      <c r="O186" s="26" t="s">
        <v>531</v>
      </c>
      <c r="P186" s="26" t="s">
        <v>526</v>
      </c>
      <c r="Q186" s="26" t="s">
        <v>527</v>
      </c>
      <c r="R186" s="32"/>
      <c r="S186" s="26" t="b">
        <v>0</v>
      </c>
      <c r="T186" s="32"/>
      <c r="U186" s="26" t="b">
        <v>1</v>
      </c>
    </row>
    <row r="187" spans="1:21" ht="16" x14ac:dyDescent="0.2">
      <c r="A187" s="25">
        <v>6982</v>
      </c>
      <c r="B187" s="26" t="s">
        <v>521</v>
      </c>
      <c r="C187" s="28">
        <v>45965</v>
      </c>
      <c r="D187" s="30" t="s">
        <v>522</v>
      </c>
      <c r="E187" s="26">
        <v>5.99</v>
      </c>
      <c r="F187" s="26" t="s">
        <v>8</v>
      </c>
      <c r="G187" s="26">
        <v>5.99</v>
      </c>
      <c r="H187" s="26" t="s">
        <v>8</v>
      </c>
      <c r="I187" s="26" t="s">
        <v>523</v>
      </c>
      <c r="J187" s="26" t="s">
        <v>524</v>
      </c>
      <c r="K187" s="26">
        <v>526072</v>
      </c>
      <c r="L187" s="26">
        <v>18503</v>
      </c>
      <c r="M187" s="26" t="s">
        <v>525</v>
      </c>
      <c r="N187" s="31">
        <v>0.47593749999999996</v>
      </c>
      <c r="O187" s="26" t="s">
        <v>531</v>
      </c>
      <c r="P187" s="26" t="s">
        <v>526</v>
      </c>
      <c r="Q187" s="26" t="s">
        <v>527</v>
      </c>
      <c r="R187" s="32"/>
      <c r="S187" s="26" t="b">
        <v>0</v>
      </c>
      <c r="T187" s="32"/>
      <c r="U187" s="26" t="b">
        <v>1</v>
      </c>
    </row>
    <row r="188" spans="1:21" ht="16" x14ac:dyDescent="0.2">
      <c r="A188" s="25">
        <v>6982</v>
      </c>
      <c r="B188" s="26" t="s">
        <v>521</v>
      </c>
      <c r="C188" s="28">
        <v>45965</v>
      </c>
      <c r="D188" s="30" t="s">
        <v>522</v>
      </c>
      <c r="E188" s="26">
        <v>5.99</v>
      </c>
      <c r="F188" s="26" t="s">
        <v>8</v>
      </c>
      <c r="G188" s="26">
        <v>5.99</v>
      </c>
      <c r="H188" s="26" t="s">
        <v>8</v>
      </c>
      <c r="I188" s="26" t="s">
        <v>523</v>
      </c>
      <c r="J188" s="26" t="s">
        <v>524</v>
      </c>
      <c r="K188" s="26">
        <v>526072</v>
      </c>
      <c r="L188" s="26">
        <v>18846</v>
      </c>
      <c r="M188" s="26" t="s">
        <v>525</v>
      </c>
      <c r="N188" s="31">
        <v>0.4846064814814815</v>
      </c>
      <c r="O188" s="26" t="s">
        <v>531</v>
      </c>
      <c r="P188" s="26" t="s">
        <v>526</v>
      </c>
      <c r="Q188" s="26" t="s">
        <v>527</v>
      </c>
      <c r="R188" s="32"/>
      <c r="S188" s="26" t="b">
        <v>0</v>
      </c>
      <c r="T188" s="32"/>
      <c r="U188" s="26" t="b">
        <v>1</v>
      </c>
    </row>
    <row r="189" spans="1:21" ht="16" x14ac:dyDescent="0.2">
      <c r="A189" s="25">
        <v>6982</v>
      </c>
      <c r="B189" s="26" t="s">
        <v>521</v>
      </c>
      <c r="C189" s="28">
        <v>45965</v>
      </c>
      <c r="D189" s="30" t="s">
        <v>522</v>
      </c>
      <c r="E189" s="26">
        <v>3.49</v>
      </c>
      <c r="F189" s="26" t="s">
        <v>8</v>
      </c>
      <c r="G189" s="26">
        <v>3.49</v>
      </c>
      <c r="H189" s="26" t="s">
        <v>8</v>
      </c>
      <c r="I189" s="26" t="s">
        <v>523</v>
      </c>
      <c r="J189" s="26" t="s">
        <v>524</v>
      </c>
      <c r="K189" s="26">
        <v>526072</v>
      </c>
      <c r="L189" s="26">
        <v>19850</v>
      </c>
      <c r="M189" s="26" t="s">
        <v>525</v>
      </c>
      <c r="N189" s="31">
        <v>0.5081134259259259</v>
      </c>
      <c r="O189" s="26" t="s">
        <v>531</v>
      </c>
      <c r="P189" s="26" t="s">
        <v>526</v>
      </c>
      <c r="Q189" s="26" t="s">
        <v>527</v>
      </c>
      <c r="R189" s="32"/>
      <c r="S189" s="26" t="b">
        <v>0</v>
      </c>
      <c r="T189" s="32"/>
      <c r="U189" s="26" t="b">
        <v>1</v>
      </c>
    </row>
    <row r="190" spans="1:21" ht="16" x14ac:dyDescent="0.2">
      <c r="A190" s="25">
        <v>6982</v>
      </c>
      <c r="B190" s="26" t="s">
        <v>550</v>
      </c>
      <c r="C190" s="28">
        <v>45964</v>
      </c>
      <c r="D190" s="26" t="s">
        <v>558</v>
      </c>
      <c r="E190" s="26">
        <v>23.57</v>
      </c>
      <c r="F190" s="26" t="s">
        <v>8</v>
      </c>
      <c r="G190" s="26">
        <v>26.62</v>
      </c>
      <c r="H190" s="26" t="s">
        <v>534</v>
      </c>
      <c r="I190" s="26" t="s">
        <v>535</v>
      </c>
      <c r="J190" s="26" t="s">
        <v>524</v>
      </c>
      <c r="K190" s="26">
        <v>526029</v>
      </c>
      <c r="L190" s="26">
        <v>65474</v>
      </c>
      <c r="M190" s="26" t="s">
        <v>525</v>
      </c>
      <c r="N190" s="31">
        <v>0.68503472222222228</v>
      </c>
      <c r="O190" s="32"/>
      <c r="P190" s="26" t="s">
        <v>526</v>
      </c>
      <c r="Q190" s="26" t="s">
        <v>527</v>
      </c>
      <c r="R190" s="32"/>
      <c r="S190" s="26" t="b">
        <v>0</v>
      </c>
      <c r="T190" s="32"/>
      <c r="U190" s="26" t="b">
        <v>1</v>
      </c>
    </row>
    <row r="191" spans="1:21" ht="16" x14ac:dyDescent="0.2">
      <c r="A191" s="25">
        <v>6982</v>
      </c>
      <c r="B191" s="26" t="s">
        <v>528</v>
      </c>
      <c r="C191" s="28">
        <v>45963</v>
      </c>
      <c r="D191" s="26" t="s">
        <v>529</v>
      </c>
      <c r="E191" s="26">
        <v>4.99</v>
      </c>
      <c r="F191" s="26" t="s">
        <v>8</v>
      </c>
      <c r="G191" s="26">
        <v>4.99</v>
      </c>
      <c r="H191" s="26" t="s">
        <v>8</v>
      </c>
      <c r="I191" s="26" t="s">
        <v>530</v>
      </c>
      <c r="J191" s="26" t="s">
        <v>524</v>
      </c>
      <c r="K191" s="26">
        <v>525970</v>
      </c>
      <c r="L191" s="26">
        <v>20772</v>
      </c>
      <c r="M191" s="26" t="s">
        <v>525</v>
      </c>
      <c r="N191" s="31">
        <v>0.20644675925925926</v>
      </c>
      <c r="O191" s="26" t="s">
        <v>531</v>
      </c>
      <c r="P191" s="26" t="s">
        <v>526</v>
      </c>
      <c r="Q191" s="26" t="s">
        <v>527</v>
      </c>
      <c r="R191" s="32"/>
      <c r="S191" s="26" t="b">
        <v>0</v>
      </c>
      <c r="T191" s="32"/>
      <c r="U191" s="26" t="b">
        <v>1</v>
      </c>
    </row>
    <row r="192" spans="1:21" ht="16" x14ac:dyDescent="0.2">
      <c r="A192" s="25">
        <v>6982</v>
      </c>
      <c r="B192" s="26" t="s">
        <v>583</v>
      </c>
      <c r="C192" s="28">
        <v>45963</v>
      </c>
      <c r="D192" s="26" t="s">
        <v>649</v>
      </c>
      <c r="E192" s="26">
        <v>11.99</v>
      </c>
      <c r="F192" s="26" t="s">
        <v>8</v>
      </c>
      <c r="G192" s="26">
        <v>11.99</v>
      </c>
      <c r="H192" s="26" t="s">
        <v>8</v>
      </c>
      <c r="I192" s="26" t="s">
        <v>565</v>
      </c>
      <c r="J192" s="26" t="s">
        <v>524</v>
      </c>
      <c r="K192" s="26">
        <v>525976</v>
      </c>
      <c r="L192" s="26">
        <v>11879</v>
      </c>
      <c r="M192" s="26" t="s">
        <v>525</v>
      </c>
      <c r="N192" s="31">
        <v>0.43517361111111108</v>
      </c>
      <c r="O192" s="32"/>
      <c r="P192" s="26" t="s">
        <v>526</v>
      </c>
      <c r="Q192" s="26" t="s">
        <v>527</v>
      </c>
      <c r="R192" s="32"/>
      <c r="S192" s="26" t="b">
        <v>0</v>
      </c>
      <c r="T192" s="32"/>
      <c r="U192" s="26" t="b">
        <v>1</v>
      </c>
    </row>
    <row r="193" spans="1:21" ht="16" x14ac:dyDescent="0.2">
      <c r="A193" s="25">
        <v>6982</v>
      </c>
      <c r="B193" s="26" t="s">
        <v>521</v>
      </c>
      <c r="C193" s="28">
        <v>45963</v>
      </c>
      <c r="D193" s="30" t="s">
        <v>522</v>
      </c>
      <c r="E193" s="26">
        <v>12.49</v>
      </c>
      <c r="F193" s="26" t="s">
        <v>8</v>
      </c>
      <c r="G193" s="26">
        <v>12.49</v>
      </c>
      <c r="H193" s="26" t="s">
        <v>8</v>
      </c>
      <c r="I193" s="26" t="s">
        <v>523</v>
      </c>
      <c r="J193" s="26" t="s">
        <v>524</v>
      </c>
      <c r="K193" s="26">
        <v>525987</v>
      </c>
      <c r="L193" s="26">
        <v>27312</v>
      </c>
      <c r="M193" s="26" t="s">
        <v>525</v>
      </c>
      <c r="N193" s="31">
        <v>0.50646990740740738</v>
      </c>
      <c r="O193" s="32"/>
      <c r="P193" s="26" t="s">
        <v>526</v>
      </c>
      <c r="Q193" s="26" t="s">
        <v>527</v>
      </c>
      <c r="R193" s="32"/>
      <c r="S193" s="26" t="b">
        <v>0</v>
      </c>
      <c r="T193" s="32"/>
      <c r="U193" s="26" t="b">
        <v>1</v>
      </c>
    </row>
    <row r="194" spans="1:21" ht="16" x14ac:dyDescent="0.2">
      <c r="A194" s="25">
        <v>6982</v>
      </c>
      <c r="B194" s="26" t="s">
        <v>528</v>
      </c>
      <c r="C194" s="28">
        <v>45963</v>
      </c>
      <c r="D194" s="26" t="s">
        <v>586</v>
      </c>
      <c r="E194" s="26">
        <v>233.83</v>
      </c>
      <c r="F194" s="26" t="s">
        <v>8</v>
      </c>
      <c r="G194" s="26">
        <v>233.83</v>
      </c>
      <c r="H194" s="26" t="s">
        <v>8</v>
      </c>
      <c r="I194" s="26" t="s">
        <v>587</v>
      </c>
      <c r="J194" s="26" t="s">
        <v>524</v>
      </c>
      <c r="K194" s="26">
        <v>525987</v>
      </c>
      <c r="L194" s="26">
        <v>51759</v>
      </c>
      <c r="M194" s="26" t="s">
        <v>525</v>
      </c>
      <c r="N194" s="31">
        <v>0.68653935185185189</v>
      </c>
      <c r="O194" s="32"/>
      <c r="P194" s="26" t="s">
        <v>526</v>
      </c>
      <c r="Q194" s="26" t="s">
        <v>527</v>
      </c>
      <c r="R194" s="32"/>
      <c r="S194" s="26" t="b">
        <v>0</v>
      </c>
      <c r="T194" s="32"/>
      <c r="U194" s="26" t="b">
        <v>1</v>
      </c>
    </row>
    <row r="195" spans="1:21" ht="16" x14ac:dyDescent="0.2">
      <c r="A195" s="25">
        <v>6982</v>
      </c>
      <c r="B195" s="26" t="s">
        <v>550</v>
      </c>
      <c r="C195" s="28">
        <v>45963</v>
      </c>
      <c r="D195" s="26" t="s">
        <v>588</v>
      </c>
      <c r="E195" s="26">
        <v>8.36</v>
      </c>
      <c r="F195" s="26" t="s">
        <v>8</v>
      </c>
      <c r="G195" s="26">
        <v>8.36</v>
      </c>
      <c r="H195" s="26" t="s">
        <v>8</v>
      </c>
      <c r="I195" s="26" t="s">
        <v>535</v>
      </c>
      <c r="J195" s="26" t="s">
        <v>524</v>
      </c>
      <c r="K195" s="26">
        <v>525987</v>
      </c>
      <c r="L195" s="26">
        <v>74393</v>
      </c>
      <c r="M195" s="26" t="s">
        <v>525</v>
      </c>
      <c r="N195" s="31">
        <v>0.882349537037037</v>
      </c>
      <c r="O195" s="32"/>
      <c r="P195" s="26" t="s">
        <v>526</v>
      </c>
      <c r="Q195" s="26" t="s">
        <v>527</v>
      </c>
      <c r="R195" s="32"/>
      <c r="S195" s="26" t="b">
        <v>0</v>
      </c>
      <c r="T195" s="32"/>
      <c r="U195" s="26" t="b">
        <v>1</v>
      </c>
    </row>
    <row r="196" spans="1:21" ht="16" x14ac:dyDescent="0.2">
      <c r="A196" s="25">
        <v>6982</v>
      </c>
      <c r="B196" s="26" t="s">
        <v>528</v>
      </c>
      <c r="C196" s="28">
        <v>45963</v>
      </c>
      <c r="D196" s="26" t="s">
        <v>650</v>
      </c>
      <c r="E196" s="26">
        <v>73</v>
      </c>
      <c r="F196" s="26" t="s">
        <v>8</v>
      </c>
      <c r="G196" s="26">
        <v>73</v>
      </c>
      <c r="H196" s="26" t="s">
        <v>8</v>
      </c>
      <c r="I196" s="26" t="s">
        <v>651</v>
      </c>
      <c r="J196" s="26" t="s">
        <v>524</v>
      </c>
      <c r="K196" s="26">
        <v>525991</v>
      </c>
      <c r="L196" s="26">
        <v>59486</v>
      </c>
      <c r="M196" s="26" t="s">
        <v>525</v>
      </c>
      <c r="N196" s="31">
        <v>0.86023148148148154</v>
      </c>
      <c r="O196" s="32"/>
      <c r="P196" s="26" t="s">
        <v>526</v>
      </c>
      <c r="Q196" s="26" t="s">
        <v>527</v>
      </c>
      <c r="R196" s="32"/>
      <c r="S196" s="26" t="b">
        <v>0</v>
      </c>
      <c r="T196" s="32"/>
      <c r="U196" s="26" t="b">
        <v>1</v>
      </c>
    </row>
    <row r="197" spans="1:21" ht="16" x14ac:dyDescent="0.2">
      <c r="A197" s="25">
        <v>6982</v>
      </c>
      <c r="B197" s="26" t="s">
        <v>528</v>
      </c>
      <c r="C197" s="28">
        <v>45962</v>
      </c>
      <c r="D197" s="26" t="s">
        <v>529</v>
      </c>
      <c r="E197" s="26">
        <v>0.86</v>
      </c>
      <c r="F197" s="26" t="s">
        <v>8</v>
      </c>
      <c r="G197" s="26">
        <v>0.86</v>
      </c>
      <c r="H197" s="26" t="s">
        <v>8</v>
      </c>
      <c r="I197" s="26" t="s">
        <v>530</v>
      </c>
      <c r="J197" s="26" t="s">
        <v>524</v>
      </c>
      <c r="K197" s="26">
        <v>525934</v>
      </c>
      <c r="L197" s="26">
        <v>20268</v>
      </c>
      <c r="M197" s="26" t="s">
        <v>525</v>
      </c>
      <c r="N197" s="31">
        <v>0.26291666666666663</v>
      </c>
      <c r="O197" s="26" t="s">
        <v>531</v>
      </c>
      <c r="P197" s="26" t="s">
        <v>526</v>
      </c>
      <c r="Q197" s="26" t="s">
        <v>527</v>
      </c>
      <c r="R197" s="32"/>
      <c r="S197" s="26" t="b">
        <v>0</v>
      </c>
      <c r="T197" s="32"/>
      <c r="U197" s="26" t="b">
        <v>1</v>
      </c>
    </row>
    <row r="198" spans="1:21" ht="16" x14ac:dyDescent="0.2">
      <c r="A198" s="25">
        <v>6982</v>
      </c>
      <c r="B198" s="26" t="s">
        <v>528</v>
      </c>
      <c r="C198" s="28">
        <v>45962</v>
      </c>
      <c r="D198" s="30" t="s">
        <v>562</v>
      </c>
      <c r="E198" s="26">
        <v>19.27</v>
      </c>
      <c r="F198" s="26" t="s">
        <v>8</v>
      </c>
      <c r="G198" s="26">
        <v>21.78</v>
      </c>
      <c r="H198" s="26" t="s">
        <v>534</v>
      </c>
      <c r="I198" s="26" t="s">
        <v>535</v>
      </c>
      <c r="J198" s="26" t="s">
        <v>524</v>
      </c>
      <c r="K198" s="26">
        <v>525934</v>
      </c>
      <c r="L198" s="26">
        <v>26444</v>
      </c>
      <c r="M198" s="26" t="s">
        <v>525</v>
      </c>
      <c r="N198" s="31">
        <v>0.27459490740740738</v>
      </c>
      <c r="O198" s="32"/>
      <c r="P198" s="26" t="s">
        <v>526</v>
      </c>
      <c r="Q198" s="26" t="s">
        <v>527</v>
      </c>
      <c r="R198" s="32"/>
      <c r="S198" s="26" t="b">
        <v>0</v>
      </c>
      <c r="T198" s="32"/>
      <c r="U198" s="26" t="b">
        <v>1</v>
      </c>
    </row>
    <row r="199" spans="1:21" ht="16" x14ac:dyDescent="0.2">
      <c r="A199" s="25">
        <v>6982</v>
      </c>
      <c r="B199" s="26" t="s">
        <v>560</v>
      </c>
      <c r="C199" s="28">
        <v>45961</v>
      </c>
      <c r="D199" s="26" t="s">
        <v>652</v>
      </c>
      <c r="E199" s="26">
        <v>4.99</v>
      </c>
      <c r="F199" s="26" t="s">
        <v>8</v>
      </c>
      <c r="G199" s="26">
        <v>4.99</v>
      </c>
      <c r="H199" s="26" t="s">
        <v>8</v>
      </c>
      <c r="I199" s="26" t="s">
        <v>547</v>
      </c>
      <c r="J199" s="26" t="s">
        <v>524</v>
      </c>
      <c r="K199" s="26">
        <v>525913</v>
      </c>
      <c r="L199" s="26">
        <v>59952</v>
      </c>
      <c r="M199" s="26" t="s">
        <v>525</v>
      </c>
      <c r="N199" s="31">
        <v>0.88203703703703706</v>
      </c>
      <c r="O199" s="32"/>
      <c r="P199" s="26" t="s">
        <v>526</v>
      </c>
      <c r="Q199" s="26" t="s">
        <v>527</v>
      </c>
      <c r="R199" s="32"/>
      <c r="S199" s="26" t="b">
        <v>0</v>
      </c>
      <c r="T199" s="32"/>
      <c r="U199" s="26" t="b">
        <v>1</v>
      </c>
    </row>
    <row r="200" spans="1:21" ht="16" x14ac:dyDescent="0.2">
      <c r="A200" s="25">
        <v>6982</v>
      </c>
      <c r="B200" s="26" t="s">
        <v>528</v>
      </c>
      <c r="C200" s="28">
        <v>45960</v>
      </c>
      <c r="D200" s="26" t="s">
        <v>529</v>
      </c>
      <c r="E200" s="26">
        <v>1.24</v>
      </c>
      <c r="F200" s="26" t="s">
        <v>8</v>
      </c>
      <c r="G200" s="26">
        <v>1.24</v>
      </c>
      <c r="H200" s="26" t="s">
        <v>8</v>
      </c>
      <c r="I200" s="26" t="s">
        <v>530</v>
      </c>
      <c r="J200" s="26" t="s">
        <v>524</v>
      </c>
      <c r="K200" s="26">
        <v>525848</v>
      </c>
      <c r="L200" s="26">
        <v>6671</v>
      </c>
      <c r="M200" s="26" t="s">
        <v>525</v>
      </c>
      <c r="N200" s="31">
        <v>0.19390046296296296</v>
      </c>
      <c r="O200" s="26" t="s">
        <v>531</v>
      </c>
      <c r="P200" s="26" t="s">
        <v>526</v>
      </c>
      <c r="Q200" s="26" t="s">
        <v>527</v>
      </c>
      <c r="R200" s="32"/>
      <c r="S200" s="26" t="b">
        <v>0</v>
      </c>
      <c r="T200" s="32"/>
      <c r="U200" s="26" t="b">
        <v>1</v>
      </c>
    </row>
    <row r="201" spans="1:21" ht="16" x14ac:dyDescent="0.2">
      <c r="A201" s="25">
        <v>6982</v>
      </c>
      <c r="B201" s="26" t="s">
        <v>550</v>
      </c>
      <c r="C201" s="28">
        <v>45960</v>
      </c>
      <c r="D201" s="26" t="s">
        <v>555</v>
      </c>
      <c r="E201" s="26">
        <v>17.55</v>
      </c>
      <c r="F201" s="26" t="s">
        <v>8</v>
      </c>
      <c r="G201" s="26">
        <v>20</v>
      </c>
      <c r="H201" s="26" t="s">
        <v>534</v>
      </c>
      <c r="I201" s="26" t="s">
        <v>535</v>
      </c>
      <c r="J201" s="26" t="s">
        <v>524</v>
      </c>
      <c r="K201" s="26">
        <v>525853</v>
      </c>
      <c r="L201" s="26">
        <v>23295</v>
      </c>
      <c r="M201" s="26" t="s">
        <v>525</v>
      </c>
      <c r="N201" s="31">
        <v>0.29550925925925925</v>
      </c>
      <c r="O201" s="32"/>
      <c r="P201" s="26" t="s">
        <v>526</v>
      </c>
      <c r="Q201" s="26" t="s">
        <v>527</v>
      </c>
      <c r="R201" s="32"/>
      <c r="S201" s="26" t="b">
        <v>0</v>
      </c>
      <c r="T201" s="32"/>
      <c r="U201" s="26" t="b">
        <v>1</v>
      </c>
    </row>
    <row r="202" spans="1:21" ht="16" x14ac:dyDescent="0.2">
      <c r="A202" s="25">
        <v>6982</v>
      </c>
      <c r="B202" s="26" t="s">
        <v>550</v>
      </c>
      <c r="C202" s="28">
        <v>45960</v>
      </c>
      <c r="D202" s="26" t="s">
        <v>574</v>
      </c>
      <c r="E202" s="26">
        <v>17.55</v>
      </c>
      <c r="F202" s="26" t="s">
        <v>8</v>
      </c>
      <c r="G202" s="26">
        <v>20</v>
      </c>
      <c r="H202" s="26" t="s">
        <v>534</v>
      </c>
      <c r="I202" s="26" t="s">
        <v>575</v>
      </c>
      <c r="J202" s="26" t="s">
        <v>524</v>
      </c>
      <c r="K202" s="26">
        <v>525856</v>
      </c>
      <c r="L202" s="26">
        <v>8222</v>
      </c>
      <c r="M202" s="26" t="s">
        <v>525</v>
      </c>
      <c r="N202" s="31">
        <v>0.49687500000000001</v>
      </c>
      <c r="O202" s="32"/>
      <c r="P202" s="26" t="s">
        <v>526</v>
      </c>
      <c r="Q202" s="26" t="s">
        <v>527</v>
      </c>
      <c r="R202" s="32"/>
      <c r="S202" s="26" t="b">
        <v>0</v>
      </c>
      <c r="T202" s="32"/>
      <c r="U202" s="26" t="b">
        <v>1</v>
      </c>
    </row>
    <row r="203" spans="1:21" ht="16" x14ac:dyDescent="0.2">
      <c r="A203" s="25">
        <v>6982</v>
      </c>
      <c r="B203" s="26" t="s">
        <v>550</v>
      </c>
      <c r="C203" s="28">
        <v>45960</v>
      </c>
      <c r="D203" s="26" t="s">
        <v>567</v>
      </c>
      <c r="E203" s="26">
        <v>13.24</v>
      </c>
      <c r="F203" s="26" t="s">
        <v>8</v>
      </c>
      <c r="G203" s="26">
        <v>15</v>
      </c>
      <c r="H203" s="26" t="s">
        <v>534</v>
      </c>
      <c r="I203" s="26" t="s">
        <v>535</v>
      </c>
      <c r="J203" s="26" t="s">
        <v>524</v>
      </c>
      <c r="K203" s="26">
        <v>525875</v>
      </c>
      <c r="L203" s="26">
        <v>43547</v>
      </c>
      <c r="M203" s="26" t="s">
        <v>525</v>
      </c>
      <c r="N203" s="31">
        <v>0.95195601851851863</v>
      </c>
      <c r="O203" s="32"/>
      <c r="P203" s="26" t="s">
        <v>526</v>
      </c>
      <c r="Q203" s="26" t="s">
        <v>527</v>
      </c>
      <c r="R203" s="32"/>
      <c r="S203" s="26" t="b">
        <v>0</v>
      </c>
      <c r="T203" s="32"/>
      <c r="U203" s="26" t="b">
        <v>1</v>
      </c>
    </row>
    <row r="204" spans="1:21" ht="16" x14ac:dyDescent="0.2">
      <c r="A204" s="25">
        <v>6982</v>
      </c>
      <c r="B204" s="26" t="s">
        <v>521</v>
      </c>
      <c r="C204" s="28">
        <v>45959</v>
      </c>
      <c r="D204" s="30" t="s">
        <v>522</v>
      </c>
      <c r="E204" s="26">
        <v>14.99</v>
      </c>
      <c r="F204" s="26" t="s">
        <v>8</v>
      </c>
      <c r="G204" s="26">
        <v>14.99</v>
      </c>
      <c r="H204" s="26" t="s">
        <v>8</v>
      </c>
      <c r="I204" s="26" t="s">
        <v>523</v>
      </c>
      <c r="J204" s="26" t="s">
        <v>524</v>
      </c>
      <c r="K204" s="26">
        <v>525815</v>
      </c>
      <c r="L204" s="26">
        <v>12805</v>
      </c>
      <c r="M204" s="26" t="s">
        <v>525</v>
      </c>
      <c r="N204" s="31">
        <v>4.9861111111111113E-2</v>
      </c>
      <c r="O204" s="26" t="s">
        <v>531</v>
      </c>
      <c r="P204" s="26" t="s">
        <v>526</v>
      </c>
      <c r="Q204" s="26" t="s">
        <v>527</v>
      </c>
      <c r="R204" s="32"/>
      <c r="S204" s="26" t="b">
        <v>0</v>
      </c>
      <c r="T204" s="32"/>
      <c r="U204" s="26" t="b">
        <v>1</v>
      </c>
    </row>
    <row r="205" spans="1:21" ht="16" x14ac:dyDescent="0.2">
      <c r="A205" s="25">
        <v>6982</v>
      </c>
      <c r="B205" s="26" t="s">
        <v>521</v>
      </c>
      <c r="C205" s="28">
        <v>45959</v>
      </c>
      <c r="D205" s="30" t="s">
        <v>522</v>
      </c>
      <c r="E205" s="26">
        <v>9.99</v>
      </c>
      <c r="F205" s="26" t="s">
        <v>8</v>
      </c>
      <c r="G205" s="26">
        <v>9.99</v>
      </c>
      <c r="H205" s="26" t="s">
        <v>8</v>
      </c>
      <c r="I205" s="26" t="s">
        <v>523</v>
      </c>
      <c r="J205" s="26" t="s">
        <v>524</v>
      </c>
      <c r="K205" s="26">
        <v>525815</v>
      </c>
      <c r="L205" s="26">
        <v>15233</v>
      </c>
      <c r="M205" s="26" t="s">
        <v>525</v>
      </c>
      <c r="N205" s="31">
        <v>0.12620370370370371</v>
      </c>
      <c r="O205" s="32"/>
      <c r="P205" s="26" t="s">
        <v>526</v>
      </c>
      <c r="Q205" s="26" t="s">
        <v>527</v>
      </c>
      <c r="R205" s="32"/>
      <c r="S205" s="26" t="b">
        <v>0</v>
      </c>
      <c r="T205" s="32"/>
      <c r="U205" s="26" t="b">
        <v>1</v>
      </c>
    </row>
    <row r="206" spans="1:21" ht="16" x14ac:dyDescent="0.2">
      <c r="A206" s="25">
        <v>6982</v>
      </c>
      <c r="B206" s="26" t="s">
        <v>528</v>
      </c>
      <c r="C206" s="28">
        <v>45959</v>
      </c>
      <c r="D206" s="26" t="s">
        <v>529</v>
      </c>
      <c r="E206" s="26">
        <v>1.19</v>
      </c>
      <c r="F206" s="26" t="s">
        <v>8</v>
      </c>
      <c r="G206" s="26">
        <v>1.19</v>
      </c>
      <c r="H206" s="26" t="s">
        <v>8</v>
      </c>
      <c r="I206" s="26" t="s">
        <v>530</v>
      </c>
      <c r="J206" s="26" t="s">
        <v>524</v>
      </c>
      <c r="K206" s="26">
        <v>525815</v>
      </c>
      <c r="L206" s="26">
        <v>29986</v>
      </c>
      <c r="M206" s="26" t="s">
        <v>525</v>
      </c>
      <c r="N206" s="31">
        <v>0.30922453703703706</v>
      </c>
      <c r="O206" s="26" t="s">
        <v>531</v>
      </c>
      <c r="P206" s="26" t="s">
        <v>526</v>
      </c>
      <c r="Q206" s="26" t="s">
        <v>527</v>
      </c>
      <c r="R206" s="32"/>
      <c r="S206" s="26" t="b">
        <v>0</v>
      </c>
      <c r="T206" s="32"/>
      <c r="U206" s="26" t="b">
        <v>1</v>
      </c>
    </row>
    <row r="207" spans="1:21" ht="16" x14ac:dyDescent="0.2">
      <c r="A207" s="25">
        <v>6982</v>
      </c>
      <c r="B207" s="26" t="s">
        <v>528</v>
      </c>
      <c r="C207" s="28">
        <v>45958</v>
      </c>
      <c r="D207" s="26" t="s">
        <v>529</v>
      </c>
      <c r="E207" s="26">
        <v>10.14</v>
      </c>
      <c r="F207" s="26" t="s">
        <v>8</v>
      </c>
      <c r="G207" s="26">
        <v>10.14</v>
      </c>
      <c r="H207" s="26" t="s">
        <v>8</v>
      </c>
      <c r="I207" s="26" t="s">
        <v>530</v>
      </c>
      <c r="J207" s="26" t="s">
        <v>524</v>
      </c>
      <c r="K207" s="26">
        <v>525777</v>
      </c>
      <c r="L207" s="26">
        <v>15252</v>
      </c>
      <c r="M207" s="26" t="s">
        <v>525</v>
      </c>
      <c r="N207" s="31">
        <v>0.24666666666666667</v>
      </c>
      <c r="O207" s="26" t="s">
        <v>531</v>
      </c>
      <c r="P207" s="26" t="s">
        <v>526</v>
      </c>
      <c r="Q207" s="26" t="s">
        <v>527</v>
      </c>
      <c r="R207" s="32"/>
      <c r="S207" s="26" t="b">
        <v>0</v>
      </c>
      <c r="T207" s="32"/>
      <c r="U207" s="26" t="b">
        <v>1</v>
      </c>
    </row>
    <row r="208" spans="1:21" ht="16" x14ac:dyDescent="0.2">
      <c r="A208" s="25">
        <v>6982</v>
      </c>
      <c r="B208" s="26" t="s">
        <v>550</v>
      </c>
      <c r="C208" s="28">
        <v>45958</v>
      </c>
      <c r="D208" s="26" t="s">
        <v>571</v>
      </c>
      <c r="E208" s="26">
        <v>8.7799999999999994</v>
      </c>
      <c r="F208" s="26" t="s">
        <v>8</v>
      </c>
      <c r="G208" s="26">
        <v>10</v>
      </c>
      <c r="H208" s="26" t="s">
        <v>534</v>
      </c>
      <c r="I208" s="26" t="s">
        <v>547</v>
      </c>
      <c r="J208" s="26" t="s">
        <v>524</v>
      </c>
      <c r="K208" s="26">
        <v>525780</v>
      </c>
      <c r="L208" s="26">
        <v>12811</v>
      </c>
      <c r="M208" s="26" t="s">
        <v>525</v>
      </c>
      <c r="N208" s="31">
        <v>0.41571759259259261</v>
      </c>
      <c r="O208" s="32"/>
      <c r="P208" s="26" t="s">
        <v>526</v>
      </c>
      <c r="Q208" s="26" t="s">
        <v>527</v>
      </c>
      <c r="R208" s="32"/>
      <c r="S208" s="26" t="b">
        <v>0</v>
      </c>
      <c r="T208" s="32"/>
      <c r="U208" s="26" t="b">
        <v>1</v>
      </c>
    </row>
    <row r="209" spans="1:21" ht="16" x14ac:dyDescent="0.2">
      <c r="A209" s="25">
        <v>6982</v>
      </c>
      <c r="B209" s="26" t="s">
        <v>550</v>
      </c>
      <c r="C209" s="28">
        <v>45958</v>
      </c>
      <c r="D209" s="26" t="s">
        <v>559</v>
      </c>
      <c r="E209" s="26">
        <v>52.64</v>
      </c>
      <c r="F209" s="26" t="s">
        <v>8</v>
      </c>
      <c r="G209" s="26">
        <v>60</v>
      </c>
      <c r="H209" s="26" t="s">
        <v>534</v>
      </c>
      <c r="I209" s="26" t="s">
        <v>535</v>
      </c>
      <c r="J209" s="26" t="s">
        <v>524</v>
      </c>
      <c r="K209" s="26">
        <v>525798</v>
      </c>
      <c r="L209" s="26">
        <v>33779</v>
      </c>
      <c r="M209" s="26" t="s">
        <v>525</v>
      </c>
      <c r="N209" s="31">
        <v>0.89396990740740734</v>
      </c>
      <c r="O209" s="32"/>
      <c r="P209" s="26" t="s">
        <v>526</v>
      </c>
      <c r="Q209" s="26" t="s">
        <v>527</v>
      </c>
      <c r="R209" s="32"/>
      <c r="S209" s="26" t="b">
        <v>0</v>
      </c>
      <c r="T209" s="32"/>
      <c r="U209" s="26" t="b">
        <v>1</v>
      </c>
    </row>
    <row r="210" spans="1:21" ht="16" x14ac:dyDescent="0.2">
      <c r="A210" s="25">
        <v>6982</v>
      </c>
      <c r="B210" s="26" t="s">
        <v>550</v>
      </c>
      <c r="C210" s="28">
        <v>45958</v>
      </c>
      <c r="D210" s="26" t="s">
        <v>572</v>
      </c>
      <c r="E210" s="26">
        <v>7</v>
      </c>
      <c r="F210" s="26" t="s">
        <v>8</v>
      </c>
      <c r="G210" s="26">
        <v>7</v>
      </c>
      <c r="H210" s="26" t="s">
        <v>8</v>
      </c>
      <c r="I210" s="26" t="s">
        <v>573</v>
      </c>
      <c r="J210" s="26" t="s">
        <v>524</v>
      </c>
      <c r="K210" s="26">
        <v>525798</v>
      </c>
      <c r="L210" s="26">
        <v>34110</v>
      </c>
      <c r="M210" s="26" t="s">
        <v>525</v>
      </c>
      <c r="N210" s="31">
        <v>0.87141203703703696</v>
      </c>
      <c r="O210" s="32"/>
      <c r="P210" s="26" t="s">
        <v>526</v>
      </c>
      <c r="Q210" s="26" t="s">
        <v>527</v>
      </c>
      <c r="R210" s="32"/>
      <c r="S210" s="26" t="b">
        <v>0</v>
      </c>
      <c r="T210" s="32"/>
      <c r="U210" s="26" t="b">
        <v>1</v>
      </c>
    </row>
    <row r="211" spans="1:21" ht="16" x14ac:dyDescent="0.2">
      <c r="A211" s="32"/>
      <c r="B211" s="26" t="s">
        <v>630</v>
      </c>
      <c r="C211" s="28">
        <v>45958</v>
      </c>
      <c r="D211" s="26" t="s">
        <v>568</v>
      </c>
      <c r="E211" s="26">
        <v>-2027.83</v>
      </c>
      <c r="F211" s="26" t="s">
        <v>8</v>
      </c>
      <c r="G211" s="26">
        <v>-2027.83</v>
      </c>
      <c r="H211" s="26" t="s">
        <v>8</v>
      </c>
      <c r="I211" s="32"/>
      <c r="J211" s="26" t="s">
        <v>569</v>
      </c>
      <c r="K211" s="26">
        <v>525754</v>
      </c>
      <c r="L211" s="26">
        <v>51791</v>
      </c>
      <c r="M211" s="26" t="s">
        <v>554</v>
      </c>
      <c r="N211" s="32"/>
      <c r="O211" s="32"/>
      <c r="P211" s="32"/>
      <c r="Q211" s="32"/>
      <c r="R211" s="32"/>
      <c r="S211" s="26" t="b">
        <v>0</v>
      </c>
      <c r="T211" s="32"/>
      <c r="U211" s="26" t="b">
        <v>0</v>
      </c>
    </row>
    <row r="212" spans="1:21" ht="16" x14ac:dyDescent="0.2">
      <c r="A212" s="25">
        <v>6982</v>
      </c>
      <c r="B212" s="26" t="s">
        <v>550</v>
      </c>
      <c r="C212" s="28">
        <v>45957</v>
      </c>
      <c r="D212" s="26" t="s">
        <v>574</v>
      </c>
      <c r="E212" s="26">
        <v>17.579999999999998</v>
      </c>
      <c r="F212" s="26" t="s">
        <v>8</v>
      </c>
      <c r="G212" s="26">
        <v>20</v>
      </c>
      <c r="H212" s="26" t="s">
        <v>534</v>
      </c>
      <c r="I212" s="26" t="s">
        <v>575</v>
      </c>
      <c r="J212" s="26" t="s">
        <v>524</v>
      </c>
      <c r="K212" s="26">
        <v>525740</v>
      </c>
      <c r="L212" s="26">
        <v>8375</v>
      </c>
      <c r="M212" s="26" t="s">
        <v>525</v>
      </c>
      <c r="N212" s="31">
        <v>0.36650462962962965</v>
      </c>
      <c r="O212" s="32"/>
      <c r="P212" s="26" t="s">
        <v>526</v>
      </c>
      <c r="Q212" s="26" t="s">
        <v>527</v>
      </c>
      <c r="R212" s="32"/>
      <c r="S212" s="26" t="b">
        <v>0</v>
      </c>
      <c r="T212" s="32"/>
      <c r="U212" s="26" t="b">
        <v>1</v>
      </c>
    </row>
    <row r="213" spans="1:21" ht="16" x14ac:dyDescent="0.2">
      <c r="A213" s="25">
        <v>6982</v>
      </c>
      <c r="B213" s="26" t="s">
        <v>560</v>
      </c>
      <c r="C213" s="28">
        <v>45956</v>
      </c>
      <c r="D213" s="26" t="s">
        <v>653</v>
      </c>
      <c r="E213" s="26">
        <v>2.99</v>
      </c>
      <c r="F213" s="26" t="s">
        <v>8</v>
      </c>
      <c r="G213" s="26">
        <v>2.99</v>
      </c>
      <c r="H213" s="26" t="s">
        <v>8</v>
      </c>
      <c r="I213" s="26" t="s">
        <v>547</v>
      </c>
      <c r="J213" s="26" t="s">
        <v>524</v>
      </c>
      <c r="K213" s="26">
        <v>525716</v>
      </c>
      <c r="L213" s="26">
        <v>95027</v>
      </c>
      <c r="M213" s="26" t="s">
        <v>525</v>
      </c>
      <c r="N213" s="31">
        <v>0.8830324074074074</v>
      </c>
      <c r="O213" s="32"/>
      <c r="P213" s="26" t="s">
        <v>526</v>
      </c>
      <c r="Q213" s="26" t="s">
        <v>527</v>
      </c>
      <c r="R213" s="32"/>
      <c r="S213" s="26" t="b">
        <v>0</v>
      </c>
      <c r="T213" s="32"/>
      <c r="U213" s="26" t="b">
        <v>1</v>
      </c>
    </row>
    <row r="214" spans="1:21" ht="16" x14ac:dyDescent="0.2">
      <c r="A214" s="25">
        <v>6982</v>
      </c>
      <c r="B214" s="26" t="s">
        <v>521</v>
      </c>
      <c r="C214" s="28">
        <v>45955</v>
      </c>
      <c r="D214" s="30" t="s">
        <v>522</v>
      </c>
      <c r="E214" s="26">
        <v>8.99</v>
      </c>
      <c r="F214" s="26" t="s">
        <v>8</v>
      </c>
      <c r="G214" s="26">
        <v>8.99</v>
      </c>
      <c r="H214" s="26" t="s">
        <v>8</v>
      </c>
      <c r="I214" s="26" t="s">
        <v>523</v>
      </c>
      <c r="J214" s="26" t="s">
        <v>524</v>
      </c>
      <c r="K214" s="26">
        <v>525662</v>
      </c>
      <c r="L214" s="26">
        <v>4035</v>
      </c>
      <c r="M214" s="26" t="s">
        <v>525</v>
      </c>
      <c r="N214" s="31">
        <v>0.1996759259259259</v>
      </c>
      <c r="O214" s="32"/>
      <c r="P214" s="26" t="s">
        <v>526</v>
      </c>
      <c r="Q214" s="26" t="s">
        <v>527</v>
      </c>
      <c r="R214" s="32"/>
      <c r="S214" s="26" t="b">
        <v>0</v>
      </c>
      <c r="T214" s="32"/>
      <c r="U214" s="26" t="b">
        <v>1</v>
      </c>
    </row>
    <row r="215" spans="1:21" ht="16" x14ac:dyDescent="0.2">
      <c r="A215" s="25">
        <v>6982</v>
      </c>
      <c r="B215" s="26" t="s">
        <v>583</v>
      </c>
      <c r="C215" s="28">
        <v>45955</v>
      </c>
      <c r="D215" s="26" t="s">
        <v>654</v>
      </c>
      <c r="E215" s="26">
        <v>19.989999999999998</v>
      </c>
      <c r="F215" s="26" t="s">
        <v>8</v>
      </c>
      <c r="G215" s="26">
        <v>19.989999999999998</v>
      </c>
      <c r="H215" s="26" t="s">
        <v>8</v>
      </c>
      <c r="I215" s="26" t="s">
        <v>565</v>
      </c>
      <c r="J215" s="26" t="s">
        <v>524</v>
      </c>
      <c r="K215" s="26">
        <v>525683</v>
      </c>
      <c r="L215" s="26">
        <v>46470</v>
      </c>
      <c r="M215" s="26" t="s">
        <v>525</v>
      </c>
      <c r="N215" s="31">
        <v>0.79028935185185178</v>
      </c>
      <c r="O215" s="32"/>
      <c r="P215" s="26" t="s">
        <v>526</v>
      </c>
      <c r="Q215" s="26" t="s">
        <v>527</v>
      </c>
      <c r="R215" s="32"/>
      <c r="S215" s="26" t="b">
        <v>0</v>
      </c>
      <c r="T215" s="32"/>
      <c r="U215" s="26" t="b">
        <v>1</v>
      </c>
    </row>
    <row r="216" spans="1:21" ht="16" x14ac:dyDescent="0.2">
      <c r="A216" s="25">
        <v>6982</v>
      </c>
      <c r="B216" s="26" t="s">
        <v>579</v>
      </c>
      <c r="C216" s="28">
        <v>45955</v>
      </c>
      <c r="D216" s="26" t="s">
        <v>655</v>
      </c>
      <c r="E216" s="26">
        <v>4.99</v>
      </c>
      <c r="F216" s="26" t="s">
        <v>8</v>
      </c>
      <c r="G216" s="26">
        <v>4.99</v>
      </c>
      <c r="H216" s="26" t="s">
        <v>8</v>
      </c>
      <c r="I216" s="26" t="s">
        <v>581</v>
      </c>
      <c r="J216" s="26" t="s">
        <v>524</v>
      </c>
      <c r="K216" s="26">
        <v>525683</v>
      </c>
      <c r="L216" s="26">
        <v>59462</v>
      </c>
      <c r="M216" s="26" t="s">
        <v>554</v>
      </c>
      <c r="N216" s="31">
        <v>0.70785879629629633</v>
      </c>
      <c r="O216" s="32"/>
      <c r="P216" s="26" t="s">
        <v>526</v>
      </c>
      <c r="Q216" s="26" t="s">
        <v>527</v>
      </c>
      <c r="R216" s="32"/>
      <c r="S216" s="26" t="b">
        <v>0</v>
      </c>
      <c r="T216" s="32"/>
      <c r="U216" s="26" t="b">
        <v>1</v>
      </c>
    </row>
    <row r="217" spans="1:21" ht="16" x14ac:dyDescent="0.2">
      <c r="A217" s="25">
        <v>6982</v>
      </c>
      <c r="B217" s="26" t="s">
        <v>528</v>
      </c>
      <c r="C217" s="28">
        <v>45953</v>
      </c>
      <c r="D217" s="26" t="s">
        <v>585</v>
      </c>
      <c r="E217" s="26">
        <v>16.79</v>
      </c>
      <c r="F217" s="26" t="s">
        <v>8</v>
      </c>
      <c r="G217" s="26">
        <v>16.79</v>
      </c>
      <c r="H217" s="26" t="s">
        <v>8</v>
      </c>
      <c r="I217" s="26" t="s">
        <v>577</v>
      </c>
      <c r="J217" s="26" t="s">
        <v>524</v>
      </c>
      <c r="K217" s="26">
        <v>525575</v>
      </c>
      <c r="L217" s="26">
        <v>7983</v>
      </c>
      <c r="M217" s="26" t="s">
        <v>525</v>
      </c>
      <c r="N217" s="31">
        <v>2.5208333333333333E-2</v>
      </c>
      <c r="O217" s="32"/>
      <c r="P217" s="26" t="s">
        <v>526</v>
      </c>
      <c r="Q217" s="26" t="s">
        <v>527</v>
      </c>
      <c r="R217" s="32"/>
      <c r="S217" s="26" t="b">
        <v>0</v>
      </c>
      <c r="T217" s="32"/>
      <c r="U217" s="26" t="b">
        <v>1</v>
      </c>
    </row>
    <row r="218" spans="1:21" ht="16" x14ac:dyDescent="0.2">
      <c r="A218" s="25">
        <v>6982</v>
      </c>
      <c r="B218" s="26" t="s">
        <v>550</v>
      </c>
      <c r="C218" s="28">
        <v>45953</v>
      </c>
      <c r="D218" s="26" t="s">
        <v>557</v>
      </c>
      <c r="E218" s="26">
        <v>21.78</v>
      </c>
      <c r="F218" s="26" t="s">
        <v>8</v>
      </c>
      <c r="G218" s="26">
        <v>21.78</v>
      </c>
      <c r="H218" s="26" t="s">
        <v>8</v>
      </c>
      <c r="I218" s="26" t="s">
        <v>535</v>
      </c>
      <c r="J218" s="26" t="s">
        <v>524</v>
      </c>
      <c r="K218" s="26">
        <v>525586</v>
      </c>
      <c r="L218" s="26">
        <v>10180</v>
      </c>
      <c r="M218" s="26" t="s">
        <v>525</v>
      </c>
      <c r="N218" s="31">
        <v>0.46335648148148145</v>
      </c>
      <c r="O218" s="32"/>
      <c r="P218" s="26" t="s">
        <v>526</v>
      </c>
      <c r="Q218" s="26" t="s">
        <v>527</v>
      </c>
      <c r="R218" s="32"/>
      <c r="S218" s="26" t="b">
        <v>0</v>
      </c>
      <c r="T218" s="32"/>
      <c r="U218" s="26" t="b">
        <v>1</v>
      </c>
    </row>
    <row r="219" spans="1:21" ht="16" x14ac:dyDescent="0.2">
      <c r="A219" s="25">
        <v>6982</v>
      </c>
      <c r="B219" s="26" t="s">
        <v>583</v>
      </c>
      <c r="C219" s="28">
        <v>45953</v>
      </c>
      <c r="D219" s="26" t="s">
        <v>656</v>
      </c>
      <c r="E219" s="26">
        <v>7.49</v>
      </c>
      <c r="F219" s="26" t="s">
        <v>8</v>
      </c>
      <c r="G219" s="26">
        <v>7.49</v>
      </c>
      <c r="H219" s="26" t="s">
        <v>8</v>
      </c>
      <c r="I219" s="26" t="s">
        <v>565</v>
      </c>
      <c r="J219" s="26" t="s">
        <v>524</v>
      </c>
      <c r="K219" s="26">
        <v>525599</v>
      </c>
      <c r="L219" s="26">
        <v>49514</v>
      </c>
      <c r="M219" s="26" t="s">
        <v>525</v>
      </c>
      <c r="N219" s="31">
        <v>0.79241898148148149</v>
      </c>
      <c r="O219" s="32"/>
      <c r="P219" s="26" t="s">
        <v>526</v>
      </c>
      <c r="Q219" s="26" t="s">
        <v>527</v>
      </c>
      <c r="R219" s="32"/>
      <c r="S219" s="26" t="b">
        <v>0</v>
      </c>
      <c r="T219" s="32"/>
      <c r="U219" s="26" t="b">
        <v>1</v>
      </c>
    </row>
    <row r="220" spans="1:21" ht="16" x14ac:dyDescent="0.2">
      <c r="A220" s="25">
        <v>6982</v>
      </c>
      <c r="B220" s="26" t="s">
        <v>521</v>
      </c>
      <c r="C220" s="28">
        <v>45952</v>
      </c>
      <c r="D220" s="30" t="s">
        <v>522</v>
      </c>
      <c r="E220" s="26">
        <v>22.99</v>
      </c>
      <c r="F220" s="26" t="s">
        <v>8</v>
      </c>
      <c r="G220" s="26">
        <v>22.99</v>
      </c>
      <c r="H220" s="26" t="s">
        <v>8</v>
      </c>
      <c r="I220" s="26" t="s">
        <v>523</v>
      </c>
      <c r="J220" s="26" t="s">
        <v>524</v>
      </c>
      <c r="K220" s="26">
        <v>525562</v>
      </c>
      <c r="L220" s="26">
        <v>66086</v>
      </c>
      <c r="M220" s="26" t="s">
        <v>554</v>
      </c>
      <c r="N220" s="31">
        <v>0.4924884259259259</v>
      </c>
      <c r="O220" s="32"/>
      <c r="P220" s="26" t="s">
        <v>526</v>
      </c>
      <c r="Q220" s="26" t="s">
        <v>527</v>
      </c>
      <c r="R220" s="32"/>
      <c r="S220" s="26" t="b">
        <v>0</v>
      </c>
      <c r="T220" s="32"/>
      <c r="U220" s="26" t="b">
        <v>1</v>
      </c>
    </row>
    <row r="221" spans="1:21" ht="16" x14ac:dyDescent="0.2">
      <c r="A221" s="25">
        <v>6982</v>
      </c>
      <c r="B221" s="26" t="s">
        <v>560</v>
      </c>
      <c r="C221" s="28">
        <v>45952</v>
      </c>
      <c r="D221" s="26" t="s">
        <v>657</v>
      </c>
      <c r="E221" s="26">
        <v>74.010000000000005</v>
      </c>
      <c r="F221" s="26" t="s">
        <v>8</v>
      </c>
      <c r="G221" s="26">
        <v>84</v>
      </c>
      <c r="H221" s="26" t="s">
        <v>534</v>
      </c>
      <c r="I221" s="26" t="s">
        <v>575</v>
      </c>
      <c r="J221" s="26" t="s">
        <v>524</v>
      </c>
      <c r="K221" s="26">
        <v>525575</v>
      </c>
      <c r="L221" s="26">
        <v>30044</v>
      </c>
      <c r="M221" s="26" t="s">
        <v>525</v>
      </c>
      <c r="N221" s="31">
        <v>0.89835648148148151</v>
      </c>
      <c r="O221" s="32"/>
      <c r="P221" s="26" t="s">
        <v>526</v>
      </c>
      <c r="Q221" s="26" t="s">
        <v>527</v>
      </c>
      <c r="R221" s="32"/>
      <c r="S221" s="26" t="b">
        <v>0</v>
      </c>
      <c r="T221" s="32"/>
      <c r="U221" s="26" t="b">
        <v>1</v>
      </c>
    </row>
    <row r="222" spans="1:21" ht="16" x14ac:dyDescent="0.2">
      <c r="A222" s="25">
        <v>6982</v>
      </c>
      <c r="B222" s="26" t="s">
        <v>521</v>
      </c>
      <c r="C222" s="28">
        <v>45951</v>
      </c>
      <c r="D222" s="30" t="s">
        <v>522</v>
      </c>
      <c r="E222" s="26">
        <v>13.99</v>
      </c>
      <c r="F222" s="26" t="s">
        <v>8</v>
      </c>
      <c r="G222" s="26">
        <v>13.99</v>
      </c>
      <c r="H222" s="26" t="s">
        <v>8</v>
      </c>
      <c r="I222" s="26" t="s">
        <v>523</v>
      </c>
      <c r="J222" s="26" t="s">
        <v>524</v>
      </c>
      <c r="K222" s="26">
        <v>525516</v>
      </c>
      <c r="L222" s="26">
        <v>4046</v>
      </c>
      <c r="M222" s="26" t="s">
        <v>525</v>
      </c>
      <c r="N222" s="31">
        <v>0.15331018518518519</v>
      </c>
      <c r="O222" s="26" t="s">
        <v>531</v>
      </c>
      <c r="P222" s="26" t="s">
        <v>526</v>
      </c>
      <c r="Q222" s="26" t="s">
        <v>527</v>
      </c>
      <c r="R222" s="32"/>
      <c r="S222" s="26" t="b">
        <v>0</v>
      </c>
      <c r="T222" s="32"/>
      <c r="U222" s="26" t="b">
        <v>1</v>
      </c>
    </row>
    <row r="223" spans="1:21" ht="16" x14ac:dyDescent="0.2">
      <c r="A223" s="25">
        <v>6982</v>
      </c>
      <c r="B223" s="26" t="s">
        <v>550</v>
      </c>
      <c r="C223" s="28">
        <v>45951</v>
      </c>
      <c r="D223" s="26" t="s">
        <v>588</v>
      </c>
      <c r="E223" s="26">
        <v>10</v>
      </c>
      <c r="F223" s="26" t="s">
        <v>8</v>
      </c>
      <c r="G223" s="26">
        <v>10</v>
      </c>
      <c r="H223" s="26" t="s">
        <v>8</v>
      </c>
      <c r="I223" s="26" t="s">
        <v>535</v>
      </c>
      <c r="J223" s="26" t="s">
        <v>524</v>
      </c>
      <c r="K223" s="26">
        <v>525519</v>
      </c>
      <c r="L223" s="26">
        <v>9105</v>
      </c>
      <c r="M223" s="26" t="s">
        <v>525</v>
      </c>
      <c r="N223" s="31">
        <v>0.45078703703703704</v>
      </c>
      <c r="O223" s="32"/>
      <c r="P223" s="26" t="s">
        <v>526</v>
      </c>
      <c r="Q223" s="26" t="s">
        <v>527</v>
      </c>
      <c r="R223" s="32"/>
      <c r="S223" s="26" t="b">
        <v>0</v>
      </c>
      <c r="T223" s="32"/>
      <c r="U223" s="26" t="b">
        <v>1</v>
      </c>
    </row>
    <row r="224" spans="1:21" ht="16" x14ac:dyDescent="0.2">
      <c r="A224" s="25">
        <v>6982</v>
      </c>
      <c r="B224" s="26" t="s">
        <v>521</v>
      </c>
      <c r="C224" s="28">
        <v>45951</v>
      </c>
      <c r="D224" s="30" t="s">
        <v>522</v>
      </c>
      <c r="E224" s="26">
        <v>7.99</v>
      </c>
      <c r="F224" s="26" t="s">
        <v>8</v>
      </c>
      <c r="G224" s="26">
        <v>7.99</v>
      </c>
      <c r="H224" s="26" t="s">
        <v>8</v>
      </c>
      <c r="I224" s="26" t="s">
        <v>523</v>
      </c>
      <c r="J224" s="26" t="s">
        <v>524</v>
      </c>
      <c r="K224" s="26">
        <v>525522</v>
      </c>
      <c r="L224" s="26">
        <v>19527</v>
      </c>
      <c r="M224" s="26" t="s">
        <v>525</v>
      </c>
      <c r="N224" s="31">
        <v>0.4742824074074074</v>
      </c>
      <c r="O224" s="26" t="s">
        <v>531</v>
      </c>
      <c r="P224" s="26" t="s">
        <v>526</v>
      </c>
      <c r="Q224" s="26" t="s">
        <v>527</v>
      </c>
      <c r="R224" s="32"/>
      <c r="S224" s="26" t="b">
        <v>0</v>
      </c>
      <c r="T224" s="32"/>
      <c r="U224" s="26" t="b">
        <v>1</v>
      </c>
    </row>
    <row r="225" spans="1:21" ht="16" x14ac:dyDescent="0.2">
      <c r="A225" s="25">
        <v>6982</v>
      </c>
      <c r="B225" s="26" t="s">
        <v>583</v>
      </c>
      <c r="C225" s="28">
        <v>45951</v>
      </c>
      <c r="D225" s="26" t="s">
        <v>658</v>
      </c>
      <c r="E225" s="26">
        <v>39.99</v>
      </c>
      <c r="F225" s="26" t="s">
        <v>8</v>
      </c>
      <c r="G225" s="26">
        <v>39.99</v>
      </c>
      <c r="H225" s="26" t="s">
        <v>8</v>
      </c>
      <c r="I225" s="26" t="s">
        <v>565</v>
      </c>
      <c r="J225" s="26" t="s">
        <v>524</v>
      </c>
      <c r="K225" s="26">
        <v>525522</v>
      </c>
      <c r="L225" s="26">
        <v>56595</v>
      </c>
      <c r="M225" s="26" t="s">
        <v>525</v>
      </c>
      <c r="N225" s="31">
        <v>0.50027777777777771</v>
      </c>
      <c r="O225" s="32"/>
      <c r="P225" s="26" t="s">
        <v>526</v>
      </c>
      <c r="Q225" s="26" t="s">
        <v>527</v>
      </c>
      <c r="R225" s="32"/>
      <c r="S225" s="26" t="b">
        <v>0</v>
      </c>
      <c r="T225" s="32"/>
      <c r="U225" s="26" t="b">
        <v>1</v>
      </c>
    </row>
    <row r="226" spans="1:21" ht="16" x14ac:dyDescent="0.2">
      <c r="A226" s="25">
        <v>6982</v>
      </c>
      <c r="B226" s="26" t="s">
        <v>521</v>
      </c>
      <c r="C226" s="28">
        <v>45951</v>
      </c>
      <c r="D226" s="30" t="s">
        <v>522</v>
      </c>
      <c r="E226" s="26">
        <v>14.99</v>
      </c>
      <c r="F226" s="26" t="s">
        <v>8</v>
      </c>
      <c r="G226" s="26">
        <v>14.99</v>
      </c>
      <c r="H226" s="26" t="s">
        <v>8</v>
      </c>
      <c r="I226" s="26" t="s">
        <v>523</v>
      </c>
      <c r="J226" s="26" t="s">
        <v>524</v>
      </c>
      <c r="K226" s="26">
        <v>525536</v>
      </c>
      <c r="L226" s="26">
        <v>12646</v>
      </c>
      <c r="M226" s="26" t="s">
        <v>525</v>
      </c>
      <c r="N226" s="31">
        <v>9.1608796296296299E-2</v>
      </c>
      <c r="O226" s="26" t="s">
        <v>531</v>
      </c>
      <c r="P226" s="26" t="s">
        <v>526</v>
      </c>
      <c r="Q226" s="26" t="s">
        <v>527</v>
      </c>
      <c r="R226" s="32"/>
      <c r="S226" s="26" t="b">
        <v>0</v>
      </c>
      <c r="T226" s="32"/>
      <c r="U226" s="26" t="b">
        <v>1</v>
      </c>
    </row>
    <row r="227" spans="1:21" ht="16" x14ac:dyDescent="0.2">
      <c r="A227" s="25">
        <v>6982</v>
      </c>
      <c r="B227" s="26" t="s">
        <v>550</v>
      </c>
      <c r="C227" s="28">
        <v>45950</v>
      </c>
      <c r="D227" s="26" t="s">
        <v>589</v>
      </c>
      <c r="E227" s="26">
        <v>11.5</v>
      </c>
      <c r="F227" s="26" t="s">
        <v>8</v>
      </c>
      <c r="G227" s="26">
        <v>11.5</v>
      </c>
      <c r="H227" s="26" t="s">
        <v>8</v>
      </c>
      <c r="I227" s="26" t="s">
        <v>575</v>
      </c>
      <c r="J227" s="26" t="s">
        <v>524</v>
      </c>
      <c r="K227" s="26">
        <v>525478</v>
      </c>
      <c r="L227" s="26">
        <v>12072</v>
      </c>
      <c r="M227" s="26" t="s">
        <v>525</v>
      </c>
      <c r="N227" s="31">
        <v>0.40534722222222225</v>
      </c>
      <c r="O227" s="32"/>
      <c r="P227" s="26" t="s">
        <v>526</v>
      </c>
      <c r="Q227" s="26" t="s">
        <v>527</v>
      </c>
      <c r="R227" s="32"/>
      <c r="S227" s="26" t="b">
        <v>0</v>
      </c>
      <c r="T227" s="32"/>
      <c r="U227" s="26" t="b">
        <v>1</v>
      </c>
    </row>
    <row r="228" spans="1:21" ht="16" x14ac:dyDescent="0.2">
      <c r="A228" s="25">
        <v>6982</v>
      </c>
      <c r="B228" s="26" t="s">
        <v>550</v>
      </c>
      <c r="C228" s="28">
        <v>45950</v>
      </c>
      <c r="D228" s="26" t="s">
        <v>589</v>
      </c>
      <c r="E228" s="26">
        <v>13.92</v>
      </c>
      <c r="F228" s="26" t="s">
        <v>8</v>
      </c>
      <c r="G228" s="26">
        <v>13.92</v>
      </c>
      <c r="H228" s="26" t="s">
        <v>8</v>
      </c>
      <c r="I228" s="26" t="s">
        <v>575</v>
      </c>
      <c r="J228" s="26" t="s">
        <v>524</v>
      </c>
      <c r="K228" s="26">
        <v>525478</v>
      </c>
      <c r="L228" s="26">
        <v>12073</v>
      </c>
      <c r="M228" s="26" t="s">
        <v>525</v>
      </c>
      <c r="N228" s="31">
        <v>0.40405092592592595</v>
      </c>
      <c r="O228" s="32"/>
      <c r="P228" s="26" t="s">
        <v>526</v>
      </c>
      <c r="Q228" s="26" t="s">
        <v>527</v>
      </c>
      <c r="R228" s="32"/>
      <c r="S228" s="26" t="b">
        <v>0</v>
      </c>
      <c r="T228" s="32"/>
      <c r="U228" s="26" t="b">
        <v>1</v>
      </c>
    </row>
    <row r="229" spans="1:21" ht="16" x14ac:dyDescent="0.2">
      <c r="A229" s="25">
        <v>6982</v>
      </c>
      <c r="B229" s="26" t="s">
        <v>521</v>
      </c>
      <c r="C229" s="28">
        <v>45950</v>
      </c>
      <c r="D229" s="30" t="s">
        <v>522</v>
      </c>
      <c r="E229" s="26">
        <v>19.989999999999998</v>
      </c>
      <c r="F229" s="26" t="s">
        <v>8</v>
      </c>
      <c r="G229" s="26">
        <v>19.989999999999998</v>
      </c>
      <c r="H229" s="26" t="s">
        <v>8</v>
      </c>
      <c r="I229" s="26" t="s">
        <v>523</v>
      </c>
      <c r="J229" s="26" t="s">
        <v>524</v>
      </c>
      <c r="K229" s="26">
        <v>525481</v>
      </c>
      <c r="L229" s="26">
        <v>15330</v>
      </c>
      <c r="M229" s="26" t="s">
        <v>525</v>
      </c>
      <c r="N229" s="31">
        <v>0.42997685185185186</v>
      </c>
      <c r="O229" s="26" t="s">
        <v>531</v>
      </c>
      <c r="P229" s="26" t="s">
        <v>526</v>
      </c>
      <c r="Q229" s="26" t="s">
        <v>527</v>
      </c>
      <c r="R229" s="32"/>
      <c r="S229" s="26" t="b">
        <v>0</v>
      </c>
      <c r="T229" s="32"/>
      <c r="U229" s="26" t="b">
        <v>1</v>
      </c>
    </row>
    <row r="230" spans="1:21" ht="16" x14ac:dyDescent="0.2">
      <c r="A230" s="25">
        <v>6982</v>
      </c>
      <c r="B230" s="26" t="s">
        <v>528</v>
      </c>
      <c r="C230" s="28">
        <v>45950</v>
      </c>
      <c r="D230" s="26" t="s">
        <v>659</v>
      </c>
      <c r="E230" s="26">
        <v>30.2</v>
      </c>
      <c r="F230" s="26" t="s">
        <v>8</v>
      </c>
      <c r="G230" s="26">
        <v>30.2</v>
      </c>
      <c r="H230" s="26" t="s">
        <v>8</v>
      </c>
      <c r="I230" s="26" t="s">
        <v>587</v>
      </c>
      <c r="J230" s="26" t="s">
        <v>524</v>
      </c>
      <c r="K230" s="26">
        <v>525491</v>
      </c>
      <c r="L230" s="26">
        <v>25862</v>
      </c>
      <c r="M230" s="26" t="s">
        <v>554</v>
      </c>
      <c r="N230" s="31">
        <v>0.72298611111111111</v>
      </c>
      <c r="O230" s="26" t="s">
        <v>531</v>
      </c>
      <c r="P230" s="26" t="s">
        <v>526</v>
      </c>
      <c r="Q230" s="26" t="s">
        <v>527</v>
      </c>
      <c r="R230" s="32"/>
      <c r="S230" s="26" t="b">
        <v>0</v>
      </c>
      <c r="T230" s="32"/>
      <c r="U230" s="26" t="b">
        <v>1</v>
      </c>
    </row>
    <row r="231" spans="1:21" ht="16" x14ac:dyDescent="0.2">
      <c r="A231" s="25">
        <v>6982</v>
      </c>
      <c r="B231" s="26" t="s">
        <v>563</v>
      </c>
      <c r="C231" s="28">
        <v>45949</v>
      </c>
      <c r="D231" s="26" t="s">
        <v>582</v>
      </c>
      <c r="E231" s="26">
        <v>8.75</v>
      </c>
      <c r="F231" s="26" t="s">
        <v>8</v>
      </c>
      <c r="G231" s="26">
        <v>10</v>
      </c>
      <c r="H231" s="26" t="s">
        <v>534</v>
      </c>
      <c r="I231" s="26" t="s">
        <v>535</v>
      </c>
      <c r="J231" s="26" t="s">
        <v>524</v>
      </c>
      <c r="K231" s="26">
        <v>525404</v>
      </c>
      <c r="L231" s="26">
        <v>26802</v>
      </c>
      <c r="M231" s="26" t="s">
        <v>525</v>
      </c>
      <c r="N231" s="31">
        <v>0.8933564814814815</v>
      </c>
      <c r="O231" s="32"/>
      <c r="P231" s="26" t="s">
        <v>526</v>
      </c>
      <c r="Q231" s="26" t="s">
        <v>527</v>
      </c>
      <c r="R231" s="32"/>
      <c r="S231" s="26" t="b">
        <v>0</v>
      </c>
      <c r="T231" s="32"/>
      <c r="U231" s="26" t="b">
        <v>1</v>
      </c>
    </row>
    <row r="232" spans="1:21" ht="16" x14ac:dyDescent="0.2">
      <c r="A232" s="25">
        <v>6982</v>
      </c>
      <c r="B232" s="26" t="s">
        <v>521</v>
      </c>
      <c r="C232" s="28">
        <v>45949</v>
      </c>
      <c r="D232" s="30" t="s">
        <v>522</v>
      </c>
      <c r="E232" s="26">
        <v>13.99</v>
      </c>
      <c r="F232" s="26" t="s">
        <v>8</v>
      </c>
      <c r="G232" s="26">
        <v>13.99</v>
      </c>
      <c r="H232" s="26" t="s">
        <v>8</v>
      </c>
      <c r="I232" s="26" t="s">
        <v>523</v>
      </c>
      <c r="J232" s="26" t="s">
        <v>524</v>
      </c>
      <c r="K232" s="26">
        <v>525438</v>
      </c>
      <c r="L232" s="26">
        <v>35672</v>
      </c>
      <c r="M232" s="26" t="s">
        <v>525</v>
      </c>
      <c r="N232" s="31">
        <v>0.84542824074074074</v>
      </c>
      <c r="O232" s="26" t="s">
        <v>531</v>
      </c>
      <c r="P232" s="26" t="s">
        <v>526</v>
      </c>
      <c r="Q232" s="26" t="s">
        <v>527</v>
      </c>
      <c r="R232" s="32"/>
      <c r="S232" s="26" t="b">
        <v>0</v>
      </c>
      <c r="T232" s="32"/>
      <c r="U232" s="26" t="b">
        <v>1</v>
      </c>
    </row>
    <row r="233" spans="1:21" ht="16" x14ac:dyDescent="0.2">
      <c r="A233" s="25">
        <v>6982</v>
      </c>
      <c r="B233" s="26" t="s">
        <v>560</v>
      </c>
      <c r="C233" s="28">
        <v>45949</v>
      </c>
      <c r="D233" s="30" t="s">
        <v>590</v>
      </c>
      <c r="E233" s="26">
        <v>8.75</v>
      </c>
      <c r="F233" s="26" t="s">
        <v>8</v>
      </c>
      <c r="G233" s="26">
        <v>10</v>
      </c>
      <c r="H233" s="26" t="s">
        <v>534</v>
      </c>
      <c r="I233" s="26" t="s">
        <v>535</v>
      </c>
      <c r="J233" s="26" t="s">
        <v>524</v>
      </c>
      <c r="K233" s="26">
        <v>525438</v>
      </c>
      <c r="L233" s="26">
        <v>75062</v>
      </c>
      <c r="M233" s="26" t="s">
        <v>525</v>
      </c>
      <c r="N233" s="31">
        <v>0.80421296296296296</v>
      </c>
      <c r="O233" s="32"/>
      <c r="P233" s="26" t="s">
        <v>526</v>
      </c>
      <c r="Q233" s="26" t="s">
        <v>527</v>
      </c>
      <c r="R233" s="32"/>
      <c r="S233" s="26" t="b">
        <v>0</v>
      </c>
      <c r="T233" s="32"/>
      <c r="U233" s="26" t="b">
        <v>1</v>
      </c>
    </row>
    <row r="234" spans="1:21" ht="16" x14ac:dyDescent="0.2">
      <c r="A234" s="25">
        <v>6982</v>
      </c>
      <c r="B234" s="26" t="s">
        <v>521</v>
      </c>
      <c r="C234" s="28">
        <v>45948</v>
      </c>
      <c r="D234" s="30" t="s">
        <v>522</v>
      </c>
      <c r="E234" s="26">
        <v>7.99</v>
      </c>
      <c r="F234" s="26" t="s">
        <v>8</v>
      </c>
      <c r="G234" s="26">
        <v>7.99</v>
      </c>
      <c r="H234" s="26" t="s">
        <v>8</v>
      </c>
      <c r="I234" s="26" t="s">
        <v>523</v>
      </c>
      <c r="J234" s="26" t="s">
        <v>524</v>
      </c>
      <c r="K234" s="26">
        <v>525404</v>
      </c>
      <c r="L234" s="26">
        <v>8189</v>
      </c>
      <c r="M234" s="26" t="s">
        <v>525</v>
      </c>
      <c r="N234" s="31">
        <v>0.42304398148148148</v>
      </c>
      <c r="O234" s="32"/>
      <c r="P234" s="26" t="s">
        <v>526</v>
      </c>
      <c r="Q234" s="26" t="s">
        <v>527</v>
      </c>
      <c r="R234" s="32"/>
      <c r="S234" s="26" t="b">
        <v>0</v>
      </c>
      <c r="T234" s="32"/>
      <c r="U234" s="26" t="b">
        <v>1</v>
      </c>
    </row>
    <row r="235" spans="1:21" ht="16" x14ac:dyDescent="0.2">
      <c r="A235" s="25">
        <v>6982</v>
      </c>
      <c r="B235" s="26" t="s">
        <v>521</v>
      </c>
      <c r="C235" s="28">
        <v>45947</v>
      </c>
      <c r="D235" s="29" t="s">
        <v>660</v>
      </c>
      <c r="E235" s="26">
        <v>7.99</v>
      </c>
      <c r="F235" s="26" t="s">
        <v>8</v>
      </c>
      <c r="G235" s="26">
        <v>7.99</v>
      </c>
      <c r="H235" s="26" t="s">
        <v>8</v>
      </c>
      <c r="I235" s="26" t="s">
        <v>523</v>
      </c>
      <c r="J235" s="26" t="s">
        <v>524</v>
      </c>
      <c r="K235" s="26">
        <v>525344</v>
      </c>
      <c r="L235" s="26">
        <v>2735</v>
      </c>
      <c r="M235" s="26" t="s">
        <v>525</v>
      </c>
      <c r="N235" s="31">
        <v>0.176875</v>
      </c>
      <c r="O235" s="32"/>
      <c r="P235" s="26" t="s">
        <v>526</v>
      </c>
      <c r="Q235" s="26" t="s">
        <v>527</v>
      </c>
      <c r="R235" s="32"/>
      <c r="S235" s="26" t="b">
        <v>0</v>
      </c>
      <c r="T235" s="32"/>
      <c r="U235" s="26" t="b">
        <v>1</v>
      </c>
    </row>
    <row r="236" spans="1:21" ht="16" x14ac:dyDescent="0.2">
      <c r="A236" s="25">
        <v>6982</v>
      </c>
      <c r="B236" s="26" t="s">
        <v>528</v>
      </c>
      <c r="C236" s="28">
        <v>45947</v>
      </c>
      <c r="D236" s="26" t="s">
        <v>661</v>
      </c>
      <c r="E236" s="26">
        <v>107.1</v>
      </c>
      <c r="F236" s="26" t="s">
        <v>8</v>
      </c>
      <c r="G236" s="26">
        <v>107.1</v>
      </c>
      <c r="H236" s="26" t="s">
        <v>8</v>
      </c>
      <c r="I236" s="26" t="s">
        <v>662</v>
      </c>
      <c r="J236" s="26" t="s">
        <v>524</v>
      </c>
      <c r="K236" s="26">
        <v>525373</v>
      </c>
      <c r="L236" s="26">
        <v>88223</v>
      </c>
      <c r="M236" s="26" t="s">
        <v>554</v>
      </c>
      <c r="N236" s="31">
        <v>0.60865740740740748</v>
      </c>
      <c r="O236" s="26" t="s">
        <v>531</v>
      </c>
      <c r="P236" s="26" t="s">
        <v>526</v>
      </c>
      <c r="Q236" s="26" t="s">
        <v>527</v>
      </c>
      <c r="R236" s="32"/>
      <c r="S236" s="26" t="b">
        <v>0</v>
      </c>
      <c r="T236" s="32"/>
      <c r="U236" s="26" t="b">
        <v>1</v>
      </c>
    </row>
    <row r="237" spans="1:21" ht="16" x14ac:dyDescent="0.2">
      <c r="A237" s="25">
        <v>6982</v>
      </c>
      <c r="B237" s="26" t="s">
        <v>583</v>
      </c>
      <c r="C237" s="28">
        <v>45946</v>
      </c>
      <c r="D237" s="26" t="s">
        <v>663</v>
      </c>
      <c r="E237" s="26">
        <v>6.49</v>
      </c>
      <c r="F237" s="26" t="s">
        <v>8</v>
      </c>
      <c r="G237" s="26">
        <v>6.49</v>
      </c>
      <c r="H237" s="26" t="s">
        <v>8</v>
      </c>
      <c r="I237" s="26" t="s">
        <v>565</v>
      </c>
      <c r="J237" s="26" t="s">
        <v>524</v>
      </c>
      <c r="K237" s="26">
        <v>525311</v>
      </c>
      <c r="L237" s="26">
        <v>7175</v>
      </c>
      <c r="M237" s="26" t="s">
        <v>525</v>
      </c>
      <c r="N237" s="31">
        <v>0.46781249999999996</v>
      </c>
      <c r="O237" s="32"/>
      <c r="P237" s="26" t="s">
        <v>526</v>
      </c>
      <c r="Q237" s="26" t="s">
        <v>527</v>
      </c>
      <c r="R237" s="32"/>
      <c r="S237" s="26" t="b">
        <v>0</v>
      </c>
      <c r="T237" s="32"/>
      <c r="U237" s="26" t="b">
        <v>1</v>
      </c>
    </row>
    <row r="238" spans="1:21" ht="16" x14ac:dyDescent="0.2">
      <c r="A238" s="25">
        <v>6982</v>
      </c>
      <c r="B238" s="26" t="s">
        <v>583</v>
      </c>
      <c r="C238" s="28">
        <v>45946</v>
      </c>
      <c r="D238" s="26" t="s">
        <v>664</v>
      </c>
      <c r="E238" s="26">
        <v>27.49</v>
      </c>
      <c r="F238" s="26" t="s">
        <v>8</v>
      </c>
      <c r="G238" s="26">
        <v>27.49</v>
      </c>
      <c r="H238" s="26" t="s">
        <v>8</v>
      </c>
      <c r="I238" s="26" t="s">
        <v>565</v>
      </c>
      <c r="J238" s="26" t="s">
        <v>524</v>
      </c>
      <c r="K238" s="26">
        <v>525311</v>
      </c>
      <c r="L238" s="26">
        <v>7193</v>
      </c>
      <c r="M238" s="26" t="s">
        <v>525</v>
      </c>
      <c r="N238" s="31">
        <v>0.4392476851851852</v>
      </c>
      <c r="O238" s="32"/>
      <c r="P238" s="26" t="s">
        <v>526</v>
      </c>
      <c r="Q238" s="26" t="s">
        <v>527</v>
      </c>
      <c r="R238" s="32"/>
      <c r="S238" s="26" t="b">
        <v>0</v>
      </c>
      <c r="T238" s="32"/>
      <c r="U238" s="26" t="b">
        <v>1</v>
      </c>
    </row>
    <row r="239" spans="1:21" ht="16" x14ac:dyDescent="0.2">
      <c r="A239" s="25">
        <v>6982</v>
      </c>
      <c r="B239" s="26" t="s">
        <v>521</v>
      </c>
      <c r="C239" s="28">
        <v>45946</v>
      </c>
      <c r="D239" s="29" t="s">
        <v>660</v>
      </c>
      <c r="E239" s="26">
        <v>33.99</v>
      </c>
      <c r="F239" s="26" t="s">
        <v>8</v>
      </c>
      <c r="G239" s="26">
        <v>33.99</v>
      </c>
      <c r="H239" s="26" t="s">
        <v>8</v>
      </c>
      <c r="I239" s="26" t="s">
        <v>523</v>
      </c>
      <c r="J239" s="26" t="s">
        <v>524</v>
      </c>
      <c r="K239" s="26">
        <v>525324</v>
      </c>
      <c r="L239" s="26">
        <v>19029</v>
      </c>
      <c r="M239" s="26" t="s">
        <v>525</v>
      </c>
      <c r="N239" s="31">
        <v>0.51503472222222224</v>
      </c>
      <c r="O239" s="32"/>
      <c r="P239" s="26" t="s">
        <v>526</v>
      </c>
      <c r="Q239" s="26" t="s">
        <v>527</v>
      </c>
      <c r="R239" s="32"/>
      <c r="S239" s="26" t="b">
        <v>0</v>
      </c>
      <c r="T239" s="32"/>
      <c r="U239" s="26" t="b">
        <v>1</v>
      </c>
    </row>
    <row r="240" spans="1:21" ht="16" x14ac:dyDescent="0.2">
      <c r="A240" s="25">
        <v>6982</v>
      </c>
      <c r="B240" s="26" t="s">
        <v>521</v>
      </c>
      <c r="C240" s="28">
        <v>45946</v>
      </c>
      <c r="D240" s="29" t="s">
        <v>660</v>
      </c>
      <c r="E240" s="26">
        <v>7.99</v>
      </c>
      <c r="F240" s="26" t="s">
        <v>8</v>
      </c>
      <c r="G240" s="26">
        <v>7.99</v>
      </c>
      <c r="H240" s="26" t="s">
        <v>8</v>
      </c>
      <c r="I240" s="26" t="s">
        <v>523</v>
      </c>
      <c r="J240" s="26" t="s">
        <v>524</v>
      </c>
      <c r="K240" s="26">
        <v>525324</v>
      </c>
      <c r="L240" s="26">
        <v>21821</v>
      </c>
      <c r="M240" s="26" t="s">
        <v>525</v>
      </c>
      <c r="N240" s="31">
        <v>0.57954861111111111</v>
      </c>
      <c r="O240" s="32"/>
      <c r="P240" s="26" t="s">
        <v>526</v>
      </c>
      <c r="Q240" s="26" t="s">
        <v>527</v>
      </c>
      <c r="R240" s="32"/>
      <c r="S240" s="26" t="b">
        <v>0</v>
      </c>
      <c r="T240" s="32"/>
      <c r="U240" s="26" t="b">
        <v>1</v>
      </c>
    </row>
    <row r="241" spans="1:21" ht="16" x14ac:dyDescent="0.2">
      <c r="A241" s="25">
        <v>6982</v>
      </c>
      <c r="B241" s="26" t="s">
        <v>521</v>
      </c>
      <c r="C241" s="28">
        <v>45946</v>
      </c>
      <c r="D241" s="29" t="s">
        <v>660</v>
      </c>
      <c r="E241" s="26">
        <v>7.49</v>
      </c>
      <c r="F241" s="26" t="s">
        <v>8</v>
      </c>
      <c r="G241" s="26">
        <v>7.49</v>
      </c>
      <c r="H241" s="26" t="s">
        <v>8</v>
      </c>
      <c r="I241" s="26" t="s">
        <v>523</v>
      </c>
      <c r="J241" s="26" t="s">
        <v>524</v>
      </c>
      <c r="K241" s="26">
        <v>525324</v>
      </c>
      <c r="L241" s="26">
        <v>22950</v>
      </c>
      <c r="M241" s="26" t="s">
        <v>525</v>
      </c>
      <c r="N241" s="31">
        <v>0.60939814814814819</v>
      </c>
      <c r="O241" s="32"/>
      <c r="P241" s="26" t="s">
        <v>526</v>
      </c>
      <c r="Q241" s="26" t="s">
        <v>527</v>
      </c>
      <c r="R241" s="32"/>
      <c r="S241" s="26" t="b">
        <v>0</v>
      </c>
      <c r="T241" s="32"/>
      <c r="U241" s="26" t="b">
        <v>1</v>
      </c>
    </row>
    <row r="242" spans="1:21" ht="16" x14ac:dyDescent="0.2">
      <c r="A242" s="25">
        <v>6982</v>
      </c>
      <c r="B242" s="26" t="s">
        <v>528</v>
      </c>
      <c r="C242" s="28">
        <v>45946</v>
      </c>
      <c r="D242" s="26" t="s">
        <v>665</v>
      </c>
      <c r="E242" s="26">
        <v>192.5</v>
      </c>
      <c r="F242" s="26" t="s">
        <v>8</v>
      </c>
      <c r="G242" s="26">
        <v>192.5</v>
      </c>
      <c r="H242" s="26" t="s">
        <v>8</v>
      </c>
      <c r="I242" s="26" t="s">
        <v>666</v>
      </c>
      <c r="J242" s="26" t="s">
        <v>524</v>
      </c>
      <c r="K242" s="26">
        <v>525327</v>
      </c>
      <c r="L242" s="26">
        <v>54568</v>
      </c>
      <c r="M242" s="26" t="s">
        <v>525</v>
      </c>
      <c r="N242" s="31">
        <v>0.98039351851851853</v>
      </c>
      <c r="O242" s="32"/>
      <c r="P242" s="26" t="s">
        <v>526</v>
      </c>
      <c r="Q242" s="26" t="s">
        <v>527</v>
      </c>
      <c r="R242" s="32"/>
      <c r="S242" s="26" t="b">
        <v>0</v>
      </c>
      <c r="T242" s="32"/>
      <c r="U242" s="26" t="b">
        <v>1</v>
      </c>
    </row>
    <row r="243" spans="1:21" ht="16" x14ac:dyDescent="0.2">
      <c r="A243" s="25">
        <v>6982</v>
      </c>
      <c r="B243" s="26" t="s">
        <v>521</v>
      </c>
      <c r="C243" s="28">
        <v>45945</v>
      </c>
      <c r="D243" s="29" t="s">
        <v>660</v>
      </c>
      <c r="E243" s="26">
        <v>14.99</v>
      </c>
      <c r="F243" s="26" t="s">
        <v>8</v>
      </c>
      <c r="G243" s="26">
        <v>14.99</v>
      </c>
      <c r="H243" s="26" t="s">
        <v>8</v>
      </c>
      <c r="I243" s="26" t="s">
        <v>523</v>
      </c>
      <c r="J243" s="26" t="s">
        <v>524</v>
      </c>
      <c r="K243" s="26">
        <v>525284</v>
      </c>
      <c r="L243" s="26">
        <v>16464</v>
      </c>
      <c r="M243" s="26" t="s">
        <v>525</v>
      </c>
      <c r="N243" s="31">
        <v>0.424837962962963</v>
      </c>
      <c r="O243" s="26" t="s">
        <v>531</v>
      </c>
      <c r="P243" s="26" t="s">
        <v>526</v>
      </c>
      <c r="Q243" s="26" t="s">
        <v>527</v>
      </c>
      <c r="R243" s="32"/>
      <c r="S243" s="26" t="b">
        <v>0</v>
      </c>
      <c r="T243" s="32"/>
      <c r="U243" s="26" t="b">
        <v>1</v>
      </c>
    </row>
    <row r="244" spans="1:21" ht="16" x14ac:dyDescent="0.2">
      <c r="A244" s="25">
        <v>6982</v>
      </c>
      <c r="B244" s="26" t="s">
        <v>521</v>
      </c>
      <c r="C244" s="28">
        <v>45945</v>
      </c>
      <c r="D244" s="29" t="s">
        <v>660</v>
      </c>
      <c r="E244" s="26">
        <v>36.99</v>
      </c>
      <c r="F244" s="26" t="s">
        <v>8</v>
      </c>
      <c r="G244" s="26">
        <v>36.99</v>
      </c>
      <c r="H244" s="26" t="s">
        <v>8</v>
      </c>
      <c r="I244" s="26" t="s">
        <v>523</v>
      </c>
      <c r="J244" s="26" t="s">
        <v>524</v>
      </c>
      <c r="K244" s="26">
        <v>525284</v>
      </c>
      <c r="L244" s="26">
        <v>28279</v>
      </c>
      <c r="M244" s="26" t="s">
        <v>525</v>
      </c>
      <c r="N244" s="31">
        <v>0.83940972222222221</v>
      </c>
      <c r="O244" s="32"/>
      <c r="P244" s="26" t="s">
        <v>526</v>
      </c>
      <c r="Q244" s="26" t="s">
        <v>527</v>
      </c>
      <c r="R244" s="32"/>
      <c r="S244" s="26" t="b">
        <v>0</v>
      </c>
      <c r="T244" s="32"/>
      <c r="U244" s="26" t="b">
        <v>1</v>
      </c>
    </row>
    <row r="245" spans="1:21" ht="16" x14ac:dyDescent="0.2">
      <c r="A245" s="25">
        <v>6982</v>
      </c>
      <c r="B245" s="26" t="s">
        <v>521</v>
      </c>
      <c r="C245" s="28">
        <v>45945</v>
      </c>
      <c r="D245" s="26" t="s">
        <v>667</v>
      </c>
      <c r="E245" s="26">
        <v>11.99</v>
      </c>
      <c r="F245" s="26" t="s">
        <v>8</v>
      </c>
      <c r="G245" s="26">
        <v>11.99</v>
      </c>
      <c r="H245" s="26" t="s">
        <v>8</v>
      </c>
      <c r="I245" s="26" t="s">
        <v>602</v>
      </c>
      <c r="J245" s="26" t="s">
        <v>524</v>
      </c>
      <c r="K245" s="26">
        <v>525284</v>
      </c>
      <c r="L245" s="26">
        <v>50330</v>
      </c>
      <c r="M245" s="26" t="s">
        <v>525</v>
      </c>
      <c r="N245" s="31">
        <v>0.72155092592592596</v>
      </c>
      <c r="O245" s="32"/>
      <c r="P245" s="26" t="s">
        <v>526</v>
      </c>
      <c r="Q245" s="26" t="s">
        <v>527</v>
      </c>
      <c r="R245" s="32"/>
      <c r="S245" s="26" t="b">
        <v>0</v>
      </c>
      <c r="T245" s="32"/>
      <c r="U245" s="26" t="b">
        <v>1</v>
      </c>
    </row>
    <row r="246" spans="1:21" ht="16" x14ac:dyDescent="0.2">
      <c r="A246" s="25">
        <v>6982</v>
      </c>
      <c r="B246" s="26" t="s">
        <v>604</v>
      </c>
      <c r="C246" s="28">
        <v>45944</v>
      </c>
      <c r="D246" s="30" t="s">
        <v>605</v>
      </c>
      <c r="E246" s="26">
        <v>16.010000000000002</v>
      </c>
      <c r="F246" s="26" t="s">
        <v>8</v>
      </c>
      <c r="G246" s="26">
        <v>18.14</v>
      </c>
      <c r="H246" s="26" t="s">
        <v>534</v>
      </c>
      <c r="I246" s="26" t="s">
        <v>539</v>
      </c>
      <c r="J246" s="26" t="s">
        <v>524</v>
      </c>
      <c r="K246" s="26">
        <v>525243</v>
      </c>
      <c r="L246" s="26">
        <v>67987</v>
      </c>
      <c r="M246" s="26" t="s">
        <v>525</v>
      </c>
      <c r="N246" s="31">
        <v>0.63321759259259258</v>
      </c>
      <c r="O246" s="32"/>
      <c r="P246" s="26" t="s">
        <v>526</v>
      </c>
      <c r="Q246" s="26" t="s">
        <v>527</v>
      </c>
      <c r="R246" s="32"/>
      <c r="S246" s="26" t="b">
        <v>0</v>
      </c>
      <c r="T246" s="32"/>
      <c r="U246" s="26" t="b">
        <v>1</v>
      </c>
    </row>
    <row r="247" spans="1:21" ht="16" x14ac:dyDescent="0.2">
      <c r="A247" s="25">
        <v>6982</v>
      </c>
      <c r="B247" s="26" t="s">
        <v>563</v>
      </c>
      <c r="C247" s="28">
        <v>45943</v>
      </c>
      <c r="D247" s="26" t="s">
        <v>607</v>
      </c>
      <c r="E247" s="26">
        <v>22.09</v>
      </c>
      <c r="F247" s="26" t="s">
        <v>8</v>
      </c>
      <c r="G247" s="26">
        <v>25</v>
      </c>
      <c r="H247" s="26" t="s">
        <v>534</v>
      </c>
      <c r="I247" s="26" t="s">
        <v>535</v>
      </c>
      <c r="J247" s="26" t="s">
        <v>524</v>
      </c>
      <c r="K247" s="26">
        <v>525187</v>
      </c>
      <c r="L247" s="26">
        <v>3166</v>
      </c>
      <c r="M247" s="26" t="s">
        <v>525</v>
      </c>
      <c r="N247" s="31">
        <v>0.46363425925925927</v>
      </c>
      <c r="O247" s="32"/>
      <c r="P247" s="26" t="s">
        <v>526</v>
      </c>
      <c r="Q247" s="26" t="s">
        <v>527</v>
      </c>
      <c r="R247" s="32"/>
      <c r="S247" s="26" t="b">
        <v>0</v>
      </c>
      <c r="T247" s="32"/>
      <c r="U247" s="26" t="b">
        <v>1</v>
      </c>
    </row>
    <row r="248" spans="1:21" ht="16" x14ac:dyDescent="0.2">
      <c r="A248" s="25">
        <v>6982</v>
      </c>
      <c r="B248" s="26" t="s">
        <v>550</v>
      </c>
      <c r="C248" s="28">
        <v>45943</v>
      </c>
      <c r="D248" s="26" t="s">
        <v>608</v>
      </c>
      <c r="E248" s="26">
        <v>13.26</v>
      </c>
      <c r="F248" s="26" t="s">
        <v>8</v>
      </c>
      <c r="G248" s="26">
        <v>15</v>
      </c>
      <c r="H248" s="26" t="s">
        <v>534</v>
      </c>
      <c r="I248" s="26" t="s">
        <v>598</v>
      </c>
      <c r="J248" s="26" t="s">
        <v>524</v>
      </c>
      <c r="K248" s="26">
        <v>525200</v>
      </c>
      <c r="L248" s="26">
        <v>66105</v>
      </c>
      <c r="M248" s="26" t="s">
        <v>525</v>
      </c>
      <c r="N248" s="31">
        <v>0.49844907407407407</v>
      </c>
      <c r="O248" s="32"/>
      <c r="P248" s="26" t="s">
        <v>526</v>
      </c>
      <c r="Q248" s="26" t="s">
        <v>527</v>
      </c>
      <c r="R248" s="32"/>
      <c r="S248" s="26" t="b">
        <v>0</v>
      </c>
      <c r="T248" s="32"/>
      <c r="U248" s="26" t="b">
        <v>1</v>
      </c>
    </row>
    <row r="249" spans="1:21" ht="16" x14ac:dyDescent="0.2">
      <c r="A249" s="25">
        <v>6982</v>
      </c>
      <c r="B249" s="26" t="s">
        <v>528</v>
      </c>
      <c r="C249" s="28">
        <v>45942</v>
      </c>
      <c r="D249" s="26" t="s">
        <v>529</v>
      </c>
      <c r="E249" s="26">
        <v>60</v>
      </c>
      <c r="F249" s="26" t="s">
        <v>8</v>
      </c>
      <c r="G249" s="26">
        <v>60</v>
      </c>
      <c r="H249" s="26" t="s">
        <v>8</v>
      </c>
      <c r="I249" s="26" t="s">
        <v>530</v>
      </c>
      <c r="J249" s="26" t="s">
        <v>524</v>
      </c>
      <c r="K249" s="26">
        <v>525138</v>
      </c>
      <c r="L249" s="26">
        <v>16900</v>
      </c>
      <c r="M249" s="26" t="s">
        <v>525</v>
      </c>
      <c r="N249" s="31">
        <v>0.31090277777777781</v>
      </c>
      <c r="O249" s="26" t="s">
        <v>531</v>
      </c>
      <c r="P249" s="26" t="s">
        <v>526</v>
      </c>
      <c r="Q249" s="26" t="s">
        <v>527</v>
      </c>
      <c r="R249" s="32"/>
      <c r="S249" s="26" t="b">
        <v>0</v>
      </c>
      <c r="T249" s="32"/>
      <c r="U249" s="26" t="b">
        <v>1</v>
      </c>
    </row>
    <row r="250" spans="1:21" ht="16" x14ac:dyDescent="0.2">
      <c r="A250" s="25">
        <v>6982</v>
      </c>
      <c r="B250" s="26" t="s">
        <v>521</v>
      </c>
      <c r="C250" s="28">
        <v>45942</v>
      </c>
      <c r="D250" s="29" t="s">
        <v>660</v>
      </c>
      <c r="E250" s="26">
        <v>13.99</v>
      </c>
      <c r="F250" s="26" t="s">
        <v>8</v>
      </c>
      <c r="G250" s="26">
        <v>13.99</v>
      </c>
      <c r="H250" s="26" t="s">
        <v>8</v>
      </c>
      <c r="I250" s="26" t="s">
        <v>523</v>
      </c>
      <c r="J250" s="26" t="s">
        <v>524</v>
      </c>
      <c r="K250" s="26">
        <v>525140</v>
      </c>
      <c r="L250" s="26">
        <v>3438</v>
      </c>
      <c r="M250" s="26" t="s">
        <v>525</v>
      </c>
      <c r="N250" s="31">
        <v>0.19372685185185187</v>
      </c>
      <c r="O250" s="32"/>
      <c r="P250" s="26" t="s">
        <v>526</v>
      </c>
      <c r="Q250" s="26" t="s">
        <v>527</v>
      </c>
      <c r="R250" s="32"/>
      <c r="S250" s="26" t="b">
        <v>0</v>
      </c>
      <c r="T250" s="32"/>
      <c r="U250" s="26" t="b">
        <v>1</v>
      </c>
    </row>
    <row r="251" spans="1:21" ht="16" x14ac:dyDescent="0.2">
      <c r="A251" s="25">
        <v>6982</v>
      </c>
      <c r="B251" s="26" t="s">
        <v>521</v>
      </c>
      <c r="C251" s="28">
        <v>45942</v>
      </c>
      <c r="D251" s="29" t="s">
        <v>660</v>
      </c>
      <c r="E251" s="26">
        <v>25.95</v>
      </c>
      <c r="F251" s="26" t="s">
        <v>8</v>
      </c>
      <c r="G251" s="26">
        <v>25.95</v>
      </c>
      <c r="H251" s="26" t="s">
        <v>8</v>
      </c>
      <c r="I251" s="26" t="s">
        <v>523</v>
      </c>
      <c r="J251" s="26" t="s">
        <v>524</v>
      </c>
      <c r="K251" s="26">
        <v>525140</v>
      </c>
      <c r="L251" s="26">
        <v>4661</v>
      </c>
      <c r="M251" s="26" t="s">
        <v>525</v>
      </c>
      <c r="N251" s="31">
        <v>0.22665509259259262</v>
      </c>
      <c r="O251" s="32"/>
      <c r="P251" s="26" t="s">
        <v>526</v>
      </c>
      <c r="Q251" s="26" t="s">
        <v>527</v>
      </c>
      <c r="R251" s="32"/>
      <c r="S251" s="26" t="b">
        <v>0</v>
      </c>
      <c r="T251" s="32"/>
      <c r="U251" s="26" t="b">
        <v>1</v>
      </c>
    </row>
    <row r="252" spans="1:21" ht="16" x14ac:dyDescent="0.2">
      <c r="A252" s="25">
        <v>6982</v>
      </c>
      <c r="B252" s="26" t="s">
        <v>528</v>
      </c>
      <c r="C252" s="28">
        <v>45942</v>
      </c>
      <c r="D252" s="26" t="s">
        <v>586</v>
      </c>
      <c r="E252" s="26">
        <v>282.36</v>
      </c>
      <c r="F252" s="26" t="s">
        <v>8</v>
      </c>
      <c r="G252" s="26">
        <v>282.36</v>
      </c>
      <c r="H252" s="26" t="s">
        <v>8</v>
      </c>
      <c r="I252" s="26" t="s">
        <v>587</v>
      </c>
      <c r="J252" s="26" t="s">
        <v>524</v>
      </c>
      <c r="K252" s="26">
        <v>525156</v>
      </c>
      <c r="L252" s="26">
        <v>52505</v>
      </c>
      <c r="M252" s="26" t="s">
        <v>525</v>
      </c>
      <c r="N252" s="31">
        <v>0.70628472222222216</v>
      </c>
      <c r="O252" s="32"/>
      <c r="P252" s="26" t="s">
        <v>526</v>
      </c>
      <c r="Q252" s="26" t="s">
        <v>527</v>
      </c>
      <c r="R252" s="32"/>
      <c r="S252" s="26" t="b">
        <v>0</v>
      </c>
      <c r="T252" s="32"/>
      <c r="U252" s="26" t="b">
        <v>1</v>
      </c>
    </row>
    <row r="253" spans="1:21" ht="16" x14ac:dyDescent="0.2">
      <c r="A253" s="25">
        <v>6982</v>
      </c>
      <c r="B253" s="26" t="s">
        <v>521</v>
      </c>
      <c r="C253" s="28">
        <v>45942</v>
      </c>
      <c r="D253" s="30" t="s">
        <v>522</v>
      </c>
      <c r="E253" s="26">
        <v>8.49</v>
      </c>
      <c r="F253" s="26" t="s">
        <v>8</v>
      </c>
      <c r="G253" s="26">
        <v>8.49</v>
      </c>
      <c r="H253" s="26" t="s">
        <v>8</v>
      </c>
      <c r="I253" s="26" t="s">
        <v>523</v>
      </c>
      <c r="J253" s="26" t="s">
        <v>524</v>
      </c>
      <c r="K253" s="26">
        <v>525200</v>
      </c>
      <c r="L253" s="26">
        <v>60049</v>
      </c>
      <c r="M253" s="26" t="s">
        <v>525</v>
      </c>
      <c r="N253" s="31">
        <v>6.2534722222222228E-2</v>
      </c>
      <c r="O253" s="26" t="s">
        <v>531</v>
      </c>
      <c r="P253" s="26" t="s">
        <v>526</v>
      </c>
      <c r="Q253" s="26" t="s">
        <v>527</v>
      </c>
      <c r="R253" s="32"/>
      <c r="S253" s="26" t="b">
        <v>0</v>
      </c>
      <c r="T253" s="32"/>
      <c r="U253" s="26" t="b">
        <v>1</v>
      </c>
    </row>
    <row r="254" spans="1:21" ht="16" x14ac:dyDescent="0.2">
      <c r="A254" s="25">
        <v>6982</v>
      </c>
      <c r="B254" s="26" t="s">
        <v>528</v>
      </c>
      <c r="C254" s="28">
        <v>45941</v>
      </c>
      <c r="D254" s="26" t="s">
        <v>529</v>
      </c>
      <c r="E254" s="26">
        <v>2.78</v>
      </c>
      <c r="F254" s="26" t="s">
        <v>8</v>
      </c>
      <c r="G254" s="26">
        <v>2.78</v>
      </c>
      <c r="H254" s="26" t="s">
        <v>8</v>
      </c>
      <c r="I254" s="26" t="s">
        <v>530</v>
      </c>
      <c r="J254" s="26" t="s">
        <v>524</v>
      </c>
      <c r="K254" s="26">
        <v>525101</v>
      </c>
      <c r="L254" s="26">
        <v>13005</v>
      </c>
      <c r="M254" s="26" t="s">
        <v>525</v>
      </c>
      <c r="N254" s="31">
        <v>0.27612268518518518</v>
      </c>
      <c r="O254" s="26" t="s">
        <v>531</v>
      </c>
      <c r="P254" s="26" t="s">
        <v>526</v>
      </c>
      <c r="Q254" s="26" t="s">
        <v>527</v>
      </c>
      <c r="R254" s="32"/>
      <c r="S254" s="26" t="b">
        <v>0</v>
      </c>
      <c r="T254" s="32"/>
      <c r="U254" s="26" t="b">
        <v>1</v>
      </c>
    </row>
    <row r="255" spans="1:21" ht="16" x14ac:dyDescent="0.2">
      <c r="A255" s="25">
        <v>6982</v>
      </c>
      <c r="B255" s="26" t="s">
        <v>528</v>
      </c>
      <c r="C255" s="28">
        <v>45940</v>
      </c>
      <c r="D255" s="26" t="s">
        <v>529</v>
      </c>
      <c r="E255" s="26">
        <v>9.2799999999999994</v>
      </c>
      <c r="F255" s="26" t="s">
        <v>8</v>
      </c>
      <c r="G255" s="26">
        <v>9.2799999999999994</v>
      </c>
      <c r="H255" s="26" t="s">
        <v>8</v>
      </c>
      <c r="I255" s="26" t="s">
        <v>530</v>
      </c>
      <c r="J255" s="26" t="s">
        <v>524</v>
      </c>
      <c r="K255" s="26">
        <v>525059</v>
      </c>
      <c r="L255" s="26">
        <v>11870</v>
      </c>
      <c r="M255" s="26" t="s">
        <v>525</v>
      </c>
      <c r="N255" s="31">
        <v>0.31589120370370372</v>
      </c>
      <c r="O255" s="26" t="s">
        <v>531</v>
      </c>
      <c r="P255" s="26" t="s">
        <v>526</v>
      </c>
      <c r="Q255" s="26" t="s">
        <v>527</v>
      </c>
      <c r="R255" s="32"/>
      <c r="S255" s="26" t="b">
        <v>0</v>
      </c>
      <c r="T255" s="32"/>
      <c r="U255" s="26" t="b">
        <v>1</v>
      </c>
    </row>
    <row r="256" spans="1:21" ht="16" x14ac:dyDescent="0.2">
      <c r="A256" s="25">
        <v>6982</v>
      </c>
      <c r="B256" s="26" t="s">
        <v>521</v>
      </c>
      <c r="C256" s="28">
        <v>45940</v>
      </c>
      <c r="D256" s="29" t="s">
        <v>660</v>
      </c>
      <c r="E256" s="26">
        <v>2.99</v>
      </c>
      <c r="F256" s="26" t="s">
        <v>8</v>
      </c>
      <c r="G256" s="26">
        <v>2.99</v>
      </c>
      <c r="H256" s="26" t="s">
        <v>8</v>
      </c>
      <c r="I256" s="26" t="s">
        <v>523</v>
      </c>
      <c r="J256" s="26" t="s">
        <v>524</v>
      </c>
      <c r="K256" s="26">
        <v>525064</v>
      </c>
      <c r="L256" s="26">
        <v>3292</v>
      </c>
      <c r="M256" s="26" t="s">
        <v>525</v>
      </c>
      <c r="N256" s="31">
        <v>0.18269675925925924</v>
      </c>
      <c r="O256" s="32"/>
      <c r="P256" s="26" t="s">
        <v>526</v>
      </c>
      <c r="Q256" s="26" t="s">
        <v>527</v>
      </c>
      <c r="R256" s="32"/>
      <c r="S256" s="26" t="b">
        <v>0</v>
      </c>
      <c r="T256" s="32"/>
      <c r="U256" s="26" t="b">
        <v>1</v>
      </c>
    </row>
    <row r="257" spans="1:21" ht="16" x14ac:dyDescent="0.2">
      <c r="A257" s="25">
        <v>6982</v>
      </c>
      <c r="B257" s="26" t="s">
        <v>521</v>
      </c>
      <c r="C257" s="28">
        <v>45940</v>
      </c>
      <c r="D257" s="29" t="s">
        <v>660</v>
      </c>
      <c r="E257" s="26">
        <v>8.49</v>
      </c>
      <c r="F257" s="26" t="s">
        <v>8</v>
      </c>
      <c r="G257" s="26">
        <v>8.49</v>
      </c>
      <c r="H257" s="26" t="s">
        <v>8</v>
      </c>
      <c r="I257" s="26" t="s">
        <v>523</v>
      </c>
      <c r="J257" s="26" t="s">
        <v>524</v>
      </c>
      <c r="K257" s="26">
        <v>525064</v>
      </c>
      <c r="L257" s="26">
        <v>6777</v>
      </c>
      <c r="M257" s="26" t="s">
        <v>525</v>
      </c>
      <c r="N257" s="31">
        <v>0.2804976851851852</v>
      </c>
      <c r="O257" s="26" t="s">
        <v>531</v>
      </c>
      <c r="P257" s="26" t="s">
        <v>526</v>
      </c>
      <c r="Q257" s="26" t="s">
        <v>527</v>
      </c>
      <c r="R257" s="32"/>
      <c r="S257" s="26" t="b">
        <v>0</v>
      </c>
      <c r="T257" s="32"/>
      <c r="U257" s="26" t="b">
        <v>1</v>
      </c>
    </row>
    <row r="258" spans="1:21" ht="16" x14ac:dyDescent="0.2">
      <c r="A258" s="25">
        <v>6982</v>
      </c>
      <c r="B258" s="26" t="s">
        <v>583</v>
      </c>
      <c r="C258" s="28">
        <v>45939</v>
      </c>
      <c r="D258" s="26" t="s">
        <v>668</v>
      </c>
      <c r="E258" s="26">
        <v>11.99</v>
      </c>
      <c r="F258" s="26" t="s">
        <v>8</v>
      </c>
      <c r="G258" s="26">
        <v>11.99</v>
      </c>
      <c r="H258" s="26" t="s">
        <v>8</v>
      </c>
      <c r="I258" s="26" t="s">
        <v>565</v>
      </c>
      <c r="J258" s="26" t="s">
        <v>524</v>
      </c>
      <c r="K258" s="26">
        <v>525044</v>
      </c>
      <c r="L258" s="26">
        <v>51998</v>
      </c>
      <c r="M258" s="26" t="s">
        <v>525</v>
      </c>
      <c r="N258" s="31">
        <v>0.74518518518518517</v>
      </c>
      <c r="O258" s="32"/>
      <c r="P258" s="26" t="s">
        <v>526</v>
      </c>
      <c r="Q258" s="26" t="s">
        <v>527</v>
      </c>
      <c r="R258" s="32"/>
      <c r="S258" s="26" t="b">
        <v>0</v>
      </c>
      <c r="T258" s="32"/>
      <c r="U258" s="26" t="b">
        <v>1</v>
      </c>
    </row>
    <row r="259" spans="1:21" ht="16" x14ac:dyDescent="0.2">
      <c r="A259" s="25">
        <v>6982</v>
      </c>
      <c r="B259" s="26" t="s">
        <v>521</v>
      </c>
      <c r="C259" s="28">
        <v>45939</v>
      </c>
      <c r="D259" s="30" t="s">
        <v>522</v>
      </c>
      <c r="E259" s="26">
        <v>7.99</v>
      </c>
      <c r="F259" s="26" t="s">
        <v>8</v>
      </c>
      <c r="G259" s="26">
        <v>7.99</v>
      </c>
      <c r="H259" s="26" t="s">
        <v>8</v>
      </c>
      <c r="I259" s="26" t="s">
        <v>523</v>
      </c>
      <c r="J259" s="26" t="s">
        <v>524</v>
      </c>
      <c r="K259" s="26">
        <v>525044</v>
      </c>
      <c r="L259" s="26">
        <v>63035</v>
      </c>
      <c r="M259" s="26" t="s">
        <v>525</v>
      </c>
      <c r="N259" s="31">
        <v>0.45253472222222224</v>
      </c>
      <c r="O259" s="26" t="s">
        <v>531</v>
      </c>
      <c r="P259" s="26" t="s">
        <v>526</v>
      </c>
      <c r="Q259" s="26" t="s">
        <v>527</v>
      </c>
      <c r="R259" s="32"/>
      <c r="S259" s="26" t="b">
        <v>0</v>
      </c>
      <c r="T259" s="32"/>
      <c r="U259" s="26" t="b">
        <v>1</v>
      </c>
    </row>
    <row r="260" spans="1:21" ht="16" x14ac:dyDescent="0.2">
      <c r="A260" s="25">
        <v>6982</v>
      </c>
      <c r="B260" s="26" t="s">
        <v>583</v>
      </c>
      <c r="C260" s="28">
        <v>45938</v>
      </c>
      <c r="D260" s="26" t="s">
        <v>669</v>
      </c>
      <c r="E260" s="26">
        <v>22.99</v>
      </c>
      <c r="F260" s="26" t="s">
        <v>8</v>
      </c>
      <c r="G260" s="26">
        <v>22.99</v>
      </c>
      <c r="H260" s="26" t="s">
        <v>8</v>
      </c>
      <c r="I260" s="26" t="s">
        <v>565</v>
      </c>
      <c r="J260" s="26" t="s">
        <v>524</v>
      </c>
      <c r="K260" s="26">
        <v>525004</v>
      </c>
      <c r="L260" s="26">
        <v>52932</v>
      </c>
      <c r="M260" s="26" t="s">
        <v>525</v>
      </c>
      <c r="N260" s="31">
        <v>0.54805555555555552</v>
      </c>
      <c r="O260" s="32"/>
      <c r="P260" s="26" t="s">
        <v>526</v>
      </c>
      <c r="Q260" s="26" t="s">
        <v>527</v>
      </c>
      <c r="R260" s="32"/>
      <c r="S260" s="26" t="b">
        <v>0</v>
      </c>
      <c r="T260" s="32"/>
      <c r="U260" s="26" t="b">
        <v>1</v>
      </c>
    </row>
    <row r="261" spans="1:21" ht="16" x14ac:dyDescent="0.2">
      <c r="A261" s="25">
        <v>6982</v>
      </c>
      <c r="B261" s="26" t="s">
        <v>528</v>
      </c>
      <c r="C261" s="28">
        <v>45937</v>
      </c>
      <c r="D261" s="26" t="s">
        <v>529</v>
      </c>
      <c r="E261" s="26">
        <v>4.4800000000000004</v>
      </c>
      <c r="F261" s="26" t="s">
        <v>8</v>
      </c>
      <c r="G261" s="26">
        <v>4.4800000000000004</v>
      </c>
      <c r="H261" s="26" t="s">
        <v>8</v>
      </c>
      <c r="I261" s="26" t="s">
        <v>530</v>
      </c>
      <c r="J261" s="26" t="s">
        <v>524</v>
      </c>
      <c r="K261" s="26">
        <v>524939</v>
      </c>
      <c r="L261" s="26">
        <v>12325</v>
      </c>
      <c r="M261" s="26" t="s">
        <v>525</v>
      </c>
      <c r="N261" s="31">
        <v>0.28634259259259259</v>
      </c>
      <c r="O261" s="26" t="s">
        <v>531</v>
      </c>
      <c r="P261" s="26" t="s">
        <v>526</v>
      </c>
      <c r="Q261" s="26" t="s">
        <v>527</v>
      </c>
      <c r="R261" s="32"/>
      <c r="S261" s="26" t="b">
        <v>0</v>
      </c>
      <c r="T261" s="32"/>
      <c r="U261" s="26" t="b">
        <v>1</v>
      </c>
    </row>
    <row r="262" spans="1:21" ht="16" x14ac:dyDescent="0.2">
      <c r="A262" s="25">
        <v>6982</v>
      </c>
      <c r="B262" s="26" t="s">
        <v>550</v>
      </c>
      <c r="C262" s="28">
        <v>45937</v>
      </c>
      <c r="D262" s="26" t="s">
        <v>619</v>
      </c>
      <c r="E262" s="26">
        <v>6.75</v>
      </c>
      <c r="F262" s="26" t="s">
        <v>8</v>
      </c>
      <c r="G262" s="26">
        <v>7.71</v>
      </c>
      <c r="H262" s="26" t="s">
        <v>534</v>
      </c>
      <c r="I262" s="26" t="s">
        <v>535</v>
      </c>
      <c r="J262" s="26" t="s">
        <v>524</v>
      </c>
      <c r="K262" s="26">
        <v>524950</v>
      </c>
      <c r="L262" s="26">
        <v>11675</v>
      </c>
      <c r="M262" s="26" t="s">
        <v>525</v>
      </c>
      <c r="N262" s="31">
        <v>0.45578703703703699</v>
      </c>
      <c r="O262" s="32"/>
      <c r="P262" s="26" t="s">
        <v>526</v>
      </c>
      <c r="Q262" s="26" t="s">
        <v>527</v>
      </c>
      <c r="R262" s="32"/>
      <c r="S262" s="26" t="b">
        <v>0</v>
      </c>
      <c r="T262" s="32"/>
      <c r="U262" s="26" t="b">
        <v>1</v>
      </c>
    </row>
    <row r="263" spans="1:21" ht="16" x14ac:dyDescent="0.2">
      <c r="A263" s="25">
        <v>6982</v>
      </c>
      <c r="B263" s="26" t="s">
        <v>521</v>
      </c>
      <c r="C263" s="28">
        <v>45937</v>
      </c>
      <c r="D263" s="29" t="s">
        <v>660</v>
      </c>
      <c r="E263" s="26">
        <v>10.99</v>
      </c>
      <c r="F263" s="26" t="s">
        <v>8</v>
      </c>
      <c r="G263" s="26">
        <v>10.99</v>
      </c>
      <c r="H263" s="26" t="s">
        <v>8</v>
      </c>
      <c r="I263" s="26" t="s">
        <v>523</v>
      </c>
      <c r="J263" s="26" t="s">
        <v>524</v>
      </c>
      <c r="K263" s="26">
        <v>524970</v>
      </c>
      <c r="L263" s="26">
        <v>8628</v>
      </c>
      <c r="M263" s="26" t="s">
        <v>525</v>
      </c>
      <c r="N263" s="31">
        <v>6.6782407407407415E-3</v>
      </c>
      <c r="O263" s="26" t="s">
        <v>531</v>
      </c>
      <c r="P263" s="26" t="s">
        <v>526</v>
      </c>
      <c r="Q263" s="26" t="s">
        <v>527</v>
      </c>
      <c r="R263" s="32"/>
      <c r="S263" s="26" t="b">
        <v>0</v>
      </c>
      <c r="T263" s="32"/>
      <c r="U263" s="26" t="b">
        <v>1</v>
      </c>
    </row>
    <row r="264" spans="1:21" ht="16" x14ac:dyDescent="0.2">
      <c r="A264" s="25">
        <v>6982</v>
      </c>
      <c r="B264" s="26" t="s">
        <v>528</v>
      </c>
      <c r="C264" s="28">
        <v>45935</v>
      </c>
      <c r="D264" s="26" t="s">
        <v>529</v>
      </c>
      <c r="E264" s="26">
        <v>1.92</v>
      </c>
      <c r="F264" s="26" t="s">
        <v>8</v>
      </c>
      <c r="G264" s="26">
        <v>1.92</v>
      </c>
      <c r="H264" s="26" t="s">
        <v>8</v>
      </c>
      <c r="I264" s="26" t="s">
        <v>530</v>
      </c>
      <c r="J264" s="26" t="s">
        <v>524</v>
      </c>
      <c r="K264" s="26">
        <v>524865</v>
      </c>
      <c r="L264" s="26">
        <v>12333</v>
      </c>
      <c r="M264" s="26" t="s">
        <v>525</v>
      </c>
      <c r="N264" s="31">
        <v>0.27150462962962962</v>
      </c>
      <c r="O264" s="26" t="s">
        <v>531</v>
      </c>
      <c r="P264" s="26" t="s">
        <v>526</v>
      </c>
      <c r="Q264" s="26" t="s">
        <v>527</v>
      </c>
      <c r="R264" s="32"/>
      <c r="S264" s="26" t="b">
        <v>0</v>
      </c>
      <c r="T264" s="32"/>
      <c r="U264" s="26" t="b">
        <v>1</v>
      </c>
    </row>
    <row r="265" spans="1:21" ht="16" x14ac:dyDescent="0.2">
      <c r="A265" s="25">
        <v>6982</v>
      </c>
      <c r="B265" s="26" t="s">
        <v>550</v>
      </c>
      <c r="C265" s="28">
        <v>45935</v>
      </c>
      <c r="D265" s="26" t="s">
        <v>555</v>
      </c>
      <c r="E265" s="26">
        <v>16.57</v>
      </c>
      <c r="F265" s="26" t="s">
        <v>8</v>
      </c>
      <c r="G265" s="26">
        <v>19</v>
      </c>
      <c r="H265" s="26" t="s">
        <v>534</v>
      </c>
      <c r="I265" s="26" t="s">
        <v>535</v>
      </c>
      <c r="J265" s="26" t="s">
        <v>524</v>
      </c>
      <c r="K265" s="26">
        <v>524900</v>
      </c>
      <c r="L265" s="26">
        <v>21594</v>
      </c>
      <c r="M265" s="26" t="s">
        <v>525</v>
      </c>
      <c r="N265" s="31">
        <v>8.9525462962962973E-2</v>
      </c>
      <c r="O265" s="32"/>
      <c r="P265" s="26" t="s">
        <v>526</v>
      </c>
      <c r="Q265" s="26" t="s">
        <v>527</v>
      </c>
      <c r="R265" s="32"/>
      <c r="S265" s="26" t="b">
        <v>0</v>
      </c>
      <c r="T265" s="32"/>
      <c r="U265" s="26" t="b">
        <v>1</v>
      </c>
    </row>
    <row r="266" spans="1:21" ht="16" x14ac:dyDescent="0.2">
      <c r="A266" s="25">
        <v>6982</v>
      </c>
      <c r="B266" s="26" t="s">
        <v>521</v>
      </c>
      <c r="C266" s="28">
        <v>45934</v>
      </c>
      <c r="D266" s="29" t="s">
        <v>660</v>
      </c>
      <c r="E266" s="26">
        <v>24.99</v>
      </c>
      <c r="F266" s="26" t="s">
        <v>8</v>
      </c>
      <c r="G266" s="26">
        <v>24.99</v>
      </c>
      <c r="H266" s="26" t="s">
        <v>8</v>
      </c>
      <c r="I266" s="26" t="s">
        <v>523</v>
      </c>
      <c r="J266" s="26" t="s">
        <v>524</v>
      </c>
      <c r="K266" s="26">
        <v>524850</v>
      </c>
      <c r="L266" s="26">
        <v>8036</v>
      </c>
      <c r="M266" s="26" t="s">
        <v>525</v>
      </c>
      <c r="N266" s="31">
        <v>0.41884259259259254</v>
      </c>
      <c r="O266" s="32"/>
      <c r="P266" s="26" t="s">
        <v>526</v>
      </c>
      <c r="Q266" s="26" t="s">
        <v>527</v>
      </c>
      <c r="R266" s="32"/>
      <c r="S266" s="26" t="b">
        <v>0</v>
      </c>
      <c r="T266" s="32"/>
      <c r="U266" s="26" t="b">
        <v>1</v>
      </c>
    </row>
    <row r="267" spans="1:21" ht="16" x14ac:dyDescent="0.2">
      <c r="A267" s="25">
        <v>6982</v>
      </c>
      <c r="B267" s="26" t="s">
        <v>521</v>
      </c>
      <c r="C267" s="28">
        <v>45934</v>
      </c>
      <c r="D267" s="29" t="s">
        <v>660</v>
      </c>
      <c r="E267" s="26">
        <v>8.49</v>
      </c>
      <c r="F267" s="26" t="s">
        <v>8</v>
      </c>
      <c r="G267" s="26">
        <v>8.49</v>
      </c>
      <c r="H267" s="26" t="s">
        <v>8</v>
      </c>
      <c r="I267" s="26" t="s">
        <v>523</v>
      </c>
      <c r="J267" s="26" t="s">
        <v>524</v>
      </c>
      <c r="K267" s="26">
        <v>524850</v>
      </c>
      <c r="L267" s="26">
        <v>20375</v>
      </c>
      <c r="M267" s="26" t="s">
        <v>525</v>
      </c>
      <c r="N267" s="31">
        <v>0.75806712962962963</v>
      </c>
      <c r="O267" s="26" t="s">
        <v>531</v>
      </c>
      <c r="P267" s="26" t="s">
        <v>526</v>
      </c>
      <c r="Q267" s="26" t="s">
        <v>527</v>
      </c>
      <c r="R267" s="32"/>
      <c r="S267" s="26" t="b">
        <v>0</v>
      </c>
      <c r="T267" s="32"/>
      <c r="U267" s="26" t="b">
        <v>1</v>
      </c>
    </row>
    <row r="268" spans="1:21" ht="16" x14ac:dyDescent="0.2">
      <c r="A268" s="25">
        <v>6982</v>
      </c>
      <c r="B268" s="26" t="s">
        <v>528</v>
      </c>
      <c r="C268" s="28">
        <v>45933</v>
      </c>
      <c r="D268" s="26" t="s">
        <v>529</v>
      </c>
      <c r="E268" s="26">
        <v>0.32</v>
      </c>
      <c r="F268" s="26" t="s">
        <v>8</v>
      </c>
      <c r="G268" s="26">
        <v>0.32</v>
      </c>
      <c r="H268" s="26" t="s">
        <v>8</v>
      </c>
      <c r="I268" s="26" t="s">
        <v>530</v>
      </c>
      <c r="J268" s="26" t="s">
        <v>524</v>
      </c>
      <c r="K268" s="26">
        <v>524794</v>
      </c>
      <c r="L268" s="26">
        <v>7434</v>
      </c>
      <c r="M268" s="26" t="s">
        <v>525</v>
      </c>
      <c r="N268" s="31">
        <v>0.3815162037037037</v>
      </c>
      <c r="O268" s="26" t="s">
        <v>531</v>
      </c>
      <c r="P268" s="26" t="s">
        <v>526</v>
      </c>
      <c r="Q268" s="26" t="s">
        <v>527</v>
      </c>
      <c r="R268" s="32"/>
      <c r="S268" s="26" t="b">
        <v>0</v>
      </c>
      <c r="T268" s="32"/>
      <c r="U268" s="26" t="b">
        <v>1</v>
      </c>
    </row>
    <row r="269" spans="1:21" ht="16" x14ac:dyDescent="0.2">
      <c r="A269" s="25">
        <v>6982</v>
      </c>
      <c r="B269" s="26" t="s">
        <v>550</v>
      </c>
      <c r="C269" s="28">
        <v>45933</v>
      </c>
      <c r="D269" s="26" t="s">
        <v>558</v>
      </c>
      <c r="E269" s="26">
        <v>11.61</v>
      </c>
      <c r="F269" s="26" t="s">
        <v>8</v>
      </c>
      <c r="G269" s="26">
        <v>13.31</v>
      </c>
      <c r="H269" s="26" t="s">
        <v>534</v>
      </c>
      <c r="I269" s="26" t="s">
        <v>535</v>
      </c>
      <c r="J269" s="26" t="s">
        <v>524</v>
      </c>
      <c r="K269" s="26">
        <v>524808</v>
      </c>
      <c r="L269" s="26">
        <v>68854</v>
      </c>
      <c r="M269" s="26" t="s">
        <v>525</v>
      </c>
      <c r="N269" s="31">
        <v>0.72633101851851845</v>
      </c>
      <c r="O269" s="32"/>
      <c r="P269" s="26" t="s">
        <v>526</v>
      </c>
      <c r="Q269" s="26" t="s">
        <v>527</v>
      </c>
      <c r="R269" s="32"/>
      <c r="S269" s="26" t="b">
        <v>0</v>
      </c>
      <c r="T269" s="32"/>
      <c r="U269" s="26" t="b">
        <v>1</v>
      </c>
    </row>
    <row r="270" spans="1:21" ht="16" x14ac:dyDescent="0.2">
      <c r="A270" s="25">
        <v>6982</v>
      </c>
      <c r="B270" s="26" t="s">
        <v>528</v>
      </c>
      <c r="C270" s="28">
        <v>45933</v>
      </c>
      <c r="D270" s="26" t="s">
        <v>670</v>
      </c>
      <c r="E270" s="26">
        <v>51.68</v>
      </c>
      <c r="F270" s="26" t="s">
        <v>8</v>
      </c>
      <c r="G270" s="26">
        <v>51.68</v>
      </c>
      <c r="H270" s="26" t="s">
        <v>8</v>
      </c>
      <c r="I270" s="26" t="s">
        <v>671</v>
      </c>
      <c r="J270" s="26" t="s">
        <v>524</v>
      </c>
      <c r="K270" s="26">
        <v>524812</v>
      </c>
      <c r="L270" s="26">
        <v>43834</v>
      </c>
      <c r="M270" s="26" t="s">
        <v>525</v>
      </c>
      <c r="N270" s="31">
        <v>0.95127314814814812</v>
      </c>
      <c r="O270" s="32"/>
      <c r="P270" s="26" t="s">
        <v>526</v>
      </c>
      <c r="Q270" s="26" t="s">
        <v>527</v>
      </c>
      <c r="R270" s="32"/>
      <c r="S270" s="26" t="b">
        <v>0</v>
      </c>
      <c r="T270" s="32"/>
      <c r="U270" s="26" t="b">
        <v>1</v>
      </c>
    </row>
    <row r="271" spans="1:21" ht="16" x14ac:dyDescent="0.2">
      <c r="A271" s="25">
        <v>6982</v>
      </c>
      <c r="B271" s="26" t="s">
        <v>528</v>
      </c>
      <c r="C271" s="28">
        <v>45933</v>
      </c>
      <c r="D271" s="26" t="s">
        <v>659</v>
      </c>
      <c r="E271" s="26">
        <v>68.040000000000006</v>
      </c>
      <c r="F271" s="26" t="s">
        <v>8</v>
      </c>
      <c r="G271" s="26">
        <v>68.040000000000006</v>
      </c>
      <c r="H271" s="26" t="s">
        <v>8</v>
      </c>
      <c r="I271" s="26" t="s">
        <v>587</v>
      </c>
      <c r="J271" s="26" t="s">
        <v>524</v>
      </c>
      <c r="K271" s="26">
        <v>524815</v>
      </c>
      <c r="L271" s="26">
        <v>29088</v>
      </c>
      <c r="M271" s="26" t="s">
        <v>554</v>
      </c>
      <c r="N271" s="31">
        <v>0.53549768518518526</v>
      </c>
      <c r="O271" s="26" t="s">
        <v>531</v>
      </c>
      <c r="P271" s="26" t="s">
        <v>526</v>
      </c>
      <c r="Q271" s="26" t="s">
        <v>527</v>
      </c>
      <c r="R271" s="32"/>
      <c r="S271" s="26" t="b">
        <v>0</v>
      </c>
      <c r="T271" s="32"/>
      <c r="U271" s="26" t="b">
        <v>1</v>
      </c>
    </row>
    <row r="272" spans="1:21" ht="16" x14ac:dyDescent="0.2">
      <c r="A272" s="25">
        <v>6982</v>
      </c>
      <c r="B272" s="26" t="s">
        <v>528</v>
      </c>
      <c r="C272" s="28">
        <v>45932</v>
      </c>
      <c r="D272" s="26" t="s">
        <v>529</v>
      </c>
      <c r="E272" s="26">
        <v>4.99</v>
      </c>
      <c r="F272" s="26" t="s">
        <v>8</v>
      </c>
      <c r="G272" s="26">
        <v>4.99</v>
      </c>
      <c r="H272" s="26" t="s">
        <v>8</v>
      </c>
      <c r="I272" s="26" t="s">
        <v>530</v>
      </c>
      <c r="J272" s="26" t="s">
        <v>524</v>
      </c>
      <c r="K272" s="26">
        <v>524754</v>
      </c>
      <c r="L272" s="26">
        <v>8778</v>
      </c>
      <c r="M272" s="26" t="s">
        <v>525</v>
      </c>
      <c r="N272" s="31">
        <v>0.38329861111111113</v>
      </c>
      <c r="O272" s="26" t="s">
        <v>531</v>
      </c>
      <c r="P272" s="26" t="s">
        <v>526</v>
      </c>
      <c r="Q272" s="26" t="s">
        <v>527</v>
      </c>
      <c r="R272" s="32"/>
      <c r="S272" s="26" t="b">
        <v>0</v>
      </c>
      <c r="T272" s="32"/>
      <c r="U272" s="26" t="b">
        <v>1</v>
      </c>
    </row>
    <row r="273" spans="1:21" ht="16" x14ac:dyDescent="0.2">
      <c r="A273" s="25">
        <v>6982</v>
      </c>
      <c r="B273" s="26" t="s">
        <v>521</v>
      </c>
      <c r="C273" s="28">
        <v>45932</v>
      </c>
      <c r="D273" s="29" t="s">
        <v>660</v>
      </c>
      <c r="E273" s="26">
        <v>12.49</v>
      </c>
      <c r="F273" s="26" t="s">
        <v>8</v>
      </c>
      <c r="G273" s="26">
        <v>12.49</v>
      </c>
      <c r="H273" s="26" t="s">
        <v>8</v>
      </c>
      <c r="I273" s="26" t="s">
        <v>523</v>
      </c>
      <c r="J273" s="26" t="s">
        <v>524</v>
      </c>
      <c r="K273" s="26">
        <v>524767</v>
      </c>
      <c r="L273" s="26">
        <v>19388</v>
      </c>
      <c r="M273" s="26" t="s">
        <v>525</v>
      </c>
      <c r="N273" s="31">
        <v>0.50673611111111116</v>
      </c>
      <c r="O273" s="32"/>
      <c r="P273" s="26" t="s">
        <v>526</v>
      </c>
      <c r="Q273" s="26" t="s">
        <v>527</v>
      </c>
      <c r="R273" s="32"/>
      <c r="S273" s="26" t="b">
        <v>0</v>
      </c>
      <c r="T273" s="32"/>
      <c r="U273" s="26" t="b">
        <v>1</v>
      </c>
    </row>
    <row r="274" spans="1:21" ht="16" x14ac:dyDescent="0.2">
      <c r="A274" s="25">
        <v>6982</v>
      </c>
      <c r="B274" s="26" t="s">
        <v>528</v>
      </c>
      <c r="C274" s="28">
        <v>45931</v>
      </c>
      <c r="D274" s="30" t="s">
        <v>562</v>
      </c>
      <c r="E274" s="26">
        <v>18.97</v>
      </c>
      <c r="F274" s="26" t="s">
        <v>8</v>
      </c>
      <c r="G274" s="26">
        <v>21.78</v>
      </c>
      <c r="H274" s="26" t="s">
        <v>534</v>
      </c>
      <c r="I274" s="26" t="s">
        <v>535</v>
      </c>
      <c r="J274" s="26" t="s">
        <v>524</v>
      </c>
      <c r="K274" s="26">
        <v>524698</v>
      </c>
      <c r="L274" s="26">
        <v>16163</v>
      </c>
      <c r="M274" s="26" t="s">
        <v>525</v>
      </c>
      <c r="N274" s="31">
        <v>0.315</v>
      </c>
      <c r="O274" s="32"/>
      <c r="P274" s="26" t="s">
        <v>526</v>
      </c>
      <c r="Q274" s="26" t="s">
        <v>527</v>
      </c>
      <c r="R274" s="32"/>
      <c r="S274" s="26" t="b">
        <v>0</v>
      </c>
      <c r="T274" s="32"/>
      <c r="U274" s="26" t="b">
        <v>1</v>
      </c>
    </row>
    <row r="275" spans="1:21" ht="16" x14ac:dyDescent="0.2">
      <c r="A275" s="25">
        <v>6982</v>
      </c>
      <c r="B275" s="26" t="s">
        <v>528</v>
      </c>
      <c r="C275" s="28">
        <v>45931</v>
      </c>
      <c r="D275" s="26" t="s">
        <v>529</v>
      </c>
      <c r="E275" s="26">
        <v>1.06</v>
      </c>
      <c r="F275" s="26" t="s">
        <v>8</v>
      </c>
      <c r="G275" s="26">
        <v>1.06</v>
      </c>
      <c r="H275" s="26" t="s">
        <v>8</v>
      </c>
      <c r="I275" s="26" t="s">
        <v>530</v>
      </c>
      <c r="J275" s="26" t="s">
        <v>524</v>
      </c>
      <c r="K275" s="26">
        <v>524704</v>
      </c>
      <c r="L275" s="26">
        <v>14880</v>
      </c>
      <c r="M275" s="26" t="s">
        <v>525</v>
      </c>
      <c r="N275" s="31">
        <v>0.30761574074074077</v>
      </c>
      <c r="O275" s="26" t="s">
        <v>531</v>
      </c>
      <c r="P275" s="26" t="s">
        <v>526</v>
      </c>
      <c r="Q275" s="26" t="s">
        <v>527</v>
      </c>
      <c r="R275" s="32"/>
      <c r="S275" s="26" t="b">
        <v>0</v>
      </c>
      <c r="T275" s="32"/>
      <c r="U275" s="26" t="b">
        <v>1</v>
      </c>
    </row>
    <row r="276" spans="1:21" ht="16" x14ac:dyDescent="0.2">
      <c r="A276" s="25">
        <v>6982</v>
      </c>
      <c r="B276" s="26" t="s">
        <v>528</v>
      </c>
      <c r="C276" s="28">
        <v>45930</v>
      </c>
      <c r="D276" s="26" t="s">
        <v>529</v>
      </c>
      <c r="E276" s="26">
        <v>0.13</v>
      </c>
      <c r="F276" s="26" t="s">
        <v>8</v>
      </c>
      <c r="G276" s="26">
        <v>0.13</v>
      </c>
      <c r="H276" s="26" t="s">
        <v>8</v>
      </c>
      <c r="I276" s="26" t="s">
        <v>530</v>
      </c>
      <c r="J276" s="26" t="s">
        <v>524</v>
      </c>
      <c r="K276" s="26">
        <v>524656</v>
      </c>
      <c r="L276" s="26">
        <v>11983</v>
      </c>
      <c r="M276" s="26" t="s">
        <v>525</v>
      </c>
      <c r="N276" s="31">
        <v>0.30055555555555552</v>
      </c>
      <c r="O276" s="26" t="s">
        <v>531</v>
      </c>
      <c r="P276" s="26" t="s">
        <v>526</v>
      </c>
      <c r="Q276" s="26" t="s">
        <v>527</v>
      </c>
      <c r="R276" s="32"/>
      <c r="S276" s="26" t="b">
        <v>0</v>
      </c>
      <c r="T276" s="32"/>
      <c r="U276" s="26" t="b">
        <v>1</v>
      </c>
    </row>
    <row r="277" spans="1:21" ht="16" x14ac:dyDescent="0.2">
      <c r="A277" s="25">
        <v>6982</v>
      </c>
      <c r="B277" s="26" t="s">
        <v>560</v>
      </c>
      <c r="C277" s="28">
        <v>45930</v>
      </c>
      <c r="D277" s="26" t="s">
        <v>672</v>
      </c>
      <c r="E277" s="26">
        <v>4.99</v>
      </c>
      <c r="F277" s="26" t="s">
        <v>8</v>
      </c>
      <c r="G277" s="26">
        <v>4.99</v>
      </c>
      <c r="H277" s="26" t="s">
        <v>8</v>
      </c>
      <c r="I277" s="26" t="s">
        <v>547</v>
      </c>
      <c r="J277" s="26" t="s">
        <v>524</v>
      </c>
      <c r="K277" s="26">
        <v>524681</v>
      </c>
      <c r="L277" s="26">
        <v>85240</v>
      </c>
      <c r="M277" s="26" t="s">
        <v>525</v>
      </c>
      <c r="N277" s="31">
        <v>0.92829861111111101</v>
      </c>
      <c r="O277" s="32"/>
      <c r="P277" s="26" t="s">
        <v>526</v>
      </c>
      <c r="Q277" s="26" t="s">
        <v>527</v>
      </c>
      <c r="R277" s="32"/>
      <c r="S277" s="26" t="b">
        <v>0</v>
      </c>
      <c r="T277" s="32"/>
      <c r="U277" s="26" t="b">
        <v>1</v>
      </c>
    </row>
    <row r="278" spans="1:21" ht="16" x14ac:dyDescent="0.2">
      <c r="A278" s="25">
        <v>6982</v>
      </c>
      <c r="B278" s="26" t="s">
        <v>550</v>
      </c>
      <c r="C278" s="28">
        <v>45930</v>
      </c>
      <c r="D278" s="26" t="s">
        <v>567</v>
      </c>
      <c r="E278" s="26">
        <v>13.06</v>
      </c>
      <c r="F278" s="26" t="s">
        <v>8</v>
      </c>
      <c r="G278" s="26">
        <v>15</v>
      </c>
      <c r="H278" s="26" t="s">
        <v>534</v>
      </c>
      <c r="I278" s="26" t="s">
        <v>535</v>
      </c>
      <c r="J278" s="26" t="s">
        <v>524</v>
      </c>
      <c r="K278" s="26">
        <v>524685</v>
      </c>
      <c r="L278" s="26">
        <v>51943</v>
      </c>
      <c r="M278" s="26" t="s">
        <v>525</v>
      </c>
      <c r="N278" s="31">
        <v>0.99369212962962961</v>
      </c>
      <c r="O278" s="32"/>
      <c r="P278" s="26" t="s">
        <v>526</v>
      </c>
      <c r="Q278" s="26" t="s">
        <v>527</v>
      </c>
      <c r="R278" s="32"/>
      <c r="S278" s="26" t="b">
        <v>0</v>
      </c>
      <c r="T278" s="32"/>
      <c r="U278" s="26" t="b">
        <v>1</v>
      </c>
    </row>
    <row r="279" spans="1:21" ht="16" x14ac:dyDescent="0.2">
      <c r="A279" s="25">
        <v>6982</v>
      </c>
      <c r="B279" s="26" t="s">
        <v>521</v>
      </c>
      <c r="C279" s="28">
        <v>45929</v>
      </c>
      <c r="D279" s="29" t="s">
        <v>660</v>
      </c>
      <c r="E279" s="26">
        <v>9.99</v>
      </c>
      <c r="F279" s="26" t="s">
        <v>8</v>
      </c>
      <c r="G279" s="26">
        <v>9.99</v>
      </c>
      <c r="H279" s="26" t="s">
        <v>8</v>
      </c>
      <c r="I279" s="26" t="s">
        <v>523</v>
      </c>
      <c r="J279" s="26" t="s">
        <v>524</v>
      </c>
      <c r="K279" s="26">
        <v>524619</v>
      </c>
      <c r="L279" s="26">
        <v>3047</v>
      </c>
      <c r="M279" s="26" t="s">
        <v>525</v>
      </c>
      <c r="N279" s="31">
        <v>0.1678587962962963</v>
      </c>
      <c r="O279" s="32"/>
      <c r="P279" s="26" t="s">
        <v>526</v>
      </c>
      <c r="Q279" s="26" t="s">
        <v>527</v>
      </c>
      <c r="R279" s="32"/>
      <c r="S279" s="26" t="b">
        <v>0</v>
      </c>
      <c r="T279" s="32"/>
      <c r="U279" s="26" t="b">
        <v>1</v>
      </c>
    </row>
    <row r="280" spans="1:21" ht="16" x14ac:dyDescent="0.2">
      <c r="A280" s="25">
        <v>6982</v>
      </c>
      <c r="B280" s="26" t="s">
        <v>528</v>
      </c>
      <c r="C280" s="28">
        <v>45928</v>
      </c>
      <c r="D280" s="26" t="s">
        <v>529</v>
      </c>
      <c r="E280" s="26">
        <v>1.99</v>
      </c>
      <c r="F280" s="26" t="s">
        <v>8</v>
      </c>
      <c r="G280" s="26">
        <v>1.99</v>
      </c>
      <c r="H280" s="26" t="s">
        <v>8</v>
      </c>
      <c r="I280" s="26" t="s">
        <v>530</v>
      </c>
      <c r="J280" s="26" t="s">
        <v>524</v>
      </c>
      <c r="K280" s="26">
        <v>524582</v>
      </c>
      <c r="L280" s="26">
        <v>16683</v>
      </c>
      <c r="M280" s="26" t="s">
        <v>525</v>
      </c>
      <c r="N280" s="31">
        <v>0.24324074074074073</v>
      </c>
      <c r="O280" s="26" t="s">
        <v>531</v>
      </c>
      <c r="P280" s="26" t="s">
        <v>526</v>
      </c>
      <c r="Q280" s="26" t="s">
        <v>527</v>
      </c>
      <c r="R280" s="32"/>
      <c r="S280" s="26" t="b">
        <v>0</v>
      </c>
      <c r="T280" s="32"/>
      <c r="U280" s="26" t="b">
        <v>1</v>
      </c>
    </row>
    <row r="281" spans="1:21" ht="16" x14ac:dyDescent="0.2">
      <c r="A281" s="25">
        <v>6982</v>
      </c>
      <c r="B281" s="26" t="s">
        <v>583</v>
      </c>
      <c r="C281" s="28">
        <v>45928</v>
      </c>
      <c r="D281" s="26" t="s">
        <v>673</v>
      </c>
      <c r="E281" s="26">
        <v>8.99</v>
      </c>
      <c r="F281" s="26" t="s">
        <v>8</v>
      </c>
      <c r="G281" s="26">
        <v>8.99</v>
      </c>
      <c r="H281" s="26" t="s">
        <v>8</v>
      </c>
      <c r="I281" s="26" t="s">
        <v>565</v>
      </c>
      <c r="J281" s="26" t="s">
        <v>524</v>
      </c>
      <c r="K281" s="26">
        <v>524590</v>
      </c>
      <c r="L281" s="26">
        <v>8155</v>
      </c>
      <c r="M281" s="26" t="s">
        <v>525</v>
      </c>
      <c r="N281" s="31">
        <v>0.48645833333333338</v>
      </c>
      <c r="O281" s="32"/>
      <c r="P281" s="26" t="s">
        <v>526</v>
      </c>
      <c r="Q281" s="26" t="s">
        <v>527</v>
      </c>
      <c r="R281" s="32"/>
      <c r="S281" s="26" t="b">
        <v>0</v>
      </c>
      <c r="T281" s="32"/>
      <c r="U281" s="26" t="b">
        <v>1</v>
      </c>
    </row>
    <row r="282" spans="1:21" ht="16" x14ac:dyDescent="0.2">
      <c r="A282" s="25">
        <v>6982</v>
      </c>
      <c r="B282" s="26" t="s">
        <v>583</v>
      </c>
      <c r="C282" s="28">
        <v>45928</v>
      </c>
      <c r="D282" s="26" t="s">
        <v>674</v>
      </c>
      <c r="E282" s="26">
        <v>11.99</v>
      </c>
      <c r="F282" s="26" t="s">
        <v>8</v>
      </c>
      <c r="G282" s="26">
        <v>11.99</v>
      </c>
      <c r="H282" s="26" t="s">
        <v>8</v>
      </c>
      <c r="I282" s="26" t="s">
        <v>565</v>
      </c>
      <c r="J282" s="26" t="s">
        <v>524</v>
      </c>
      <c r="K282" s="26">
        <v>524590</v>
      </c>
      <c r="L282" s="26">
        <v>8157</v>
      </c>
      <c r="M282" s="26" t="s">
        <v>525</v>
      </c>
      <c r="N282" s="31">
        <v>0.48723379629629626</v>
      </c>
      <c r="O282" s="32"/>
      <c r="P282" s="26" t="s">
        <v>526</v>
      </c>
      <c r="Q282" s="26" t="s">
        <v>527</v>
      </c>
      <c r="R282" s="32"/>
      <c r="S282" s="26" t="b">
        <v>0</v>
      </c>
      <c r="T282" s="32"/>
      <c r="U282" s="26" t="b">
        <v>1</v>
      </c>
    </row>
    <row r="283" spans="1:21" ht="16" x14ac:dyDescent="0.2">
      <c r="A283" s="25">
        <v>6982</v>
      </c>
      <c r="B283" s="26" t="s">
        <v>550</v>
      </c>
      <c r="C283" s="28">
        <v>45928</v>
      </c>
      <c r="D283" s="26" t="s">
        <v>571</v>
      </c>
      <c r="E283" s="26">
        <v>8.76</v>
      </c>
      <c r="F283" s="26" t="s">
        <v>8</v>
      </c>
      <c r="G283" s="26">
        <v>10</v>
      </c>
      <c r="H283" s="26" t="s">
        <v>534</v>
      </c>
      <c r="I283" s="26" t="s">
        <v>547</v>
      </c>
      <c r="J283" s="26" t="s">
        <v>524</v>
      </c>
      <c r="K283" s="26">
        <v>524590</v>
      </c>
      <c r="L283" s="26">
        <v>14889</v>
      </c>
      <c r="M283" s="26" t="s">
        <v>525</v>
      </c>
      <c r="N283" s="31">
        <v>0.45703703703703707</v>
      </c>
      <c r="O283" s="32"/>
      <c r="P283" s="26" t="s">
        <v>526</v>
      </c>
      <c r="Q283" s="26" t="s">
        <v>527</v>
      </c>
      <c r="R283" s="32"/>
      <c r="S283" s="26" t="b">
        <v>0</v>
      </c>
      <c r="T283" s="32"/>
      <c r="U283" s="26" t="b">
        <v>1</v>
      </c>
    </row>
    <row r="284" spans="1:21" ht="16" x14ac:dyDescent="0.2">
      <c r="A284" s="25">
        <v>6982</v>
      </c>
      <c r="B284" s="26" t="s">
        <v>528</v>
      </c>
      <c r="C284" s="28">
        <v>45928</v>
      </c>
      <c r="D284" s="26" t="s">
        <v>659</v>
      </c>
      <c r="E284" s="26">
        <v>96.72</v>
      </c>
      <c r="F284" s="26" t="s">
        <v>8</v>
      </c>
      <c r="G284" s="26">
        <v>96.72</v>
      </c>
      <c r="H284" s="26" t="s">
        <v>8</v>
      </c>
      <c r="I284" s="26" t="s">
        <v>587</v>
      </c>
      <c r="J284" s="26" t="s">
        <v>524</v>
      </c>
      <c r="K284" s="26">
        <v>524602</v>
      </c>
      <c r="L284" s="26">
        <v>27101</v>
      </c>
      <c r="M284" s="26" t="s">
        <v>554</v>
      </c>
      <c r="N284" s="31">
        <v>0.76318287037037036</v>
      </c>
      <c r="O284" s="26" t="s">
        <v>531</v>
      </c>
      <c r="P284" s="26" t="s">
        <v>526</v>
      </c>
      <c r="Q284" s="26" t="s">
        <v>527</v>
      </c>
      <c r="R284" s="32"/>
      <c r="S284" s="26" t="b">
        <v>0</v>
      </c>
      <c r="T284" s="32"/>
      <c r="U284" s="26" t="b">
        <v>1</v>
      </c>
    </row>
    <row r="285" spans="1:21" ht="16" x14ac:dyDescent="0.2">
      <c r="A285" s="25">
        <v>6982</v>
      </c>
      <c r="B285" s="26" t="s">
        <v>550</v>
      </c>
      <c r="C285" s="28">
        <v>45928</v>
      </c>
      <c r="D285" s="26" t="s">
        <v>559</v>
      </c>
      <c r="E285" s="26">
        <v>52.55</v>
      </c>
      <c r="F285" s="26" t="s">
        <v>8</v>
      </c>
      <c r="G285" s="26">
        <v>60</v>
      </c>
      <c r="H285" s="26" t="s">
        <v>534</v>
      </c>
      <c r="I285" s="26" t="s">
        <v>535</v>
      </c>
      <c r="J285" s="26" t="s">
        <v>524</v>
      </c>
      <c r="K285" s="26">
        <v>524602</v>
      </c>
      <c r="L285" s="26">
        <v>55336</v>
      </c>
      <c r="M285" s="26" t="s">
        <v>525</v>
      </c>
      <c r="N285" s="31">
        <v>0.93623842592592599</v>
      </c>
      <c r="O285" s="32"/>
      <c r="P285" s="26" t="s">
        <v>526</v>
      </c>
      <c r="Q285" s="26" t="s">
        <v>527</v>
      </c>
      <c r="R285" s="32"/>
      <c r="S285" s="26" t="b">
        <v>0</v>
      </c>
      <c r="T285" s="32"/>
      <c r="U285" s="26" t="b">
        <v>1</v>
      </c>
    </row>
    <row r="286" spans="1:21" ht="16" x14ac:dyDescent="0.2">
      <c r="A286" s="25">
        <v>6982</v>
      </c>
      <c r="B286" s="26" t="s">
        <v>550</v>
      </c>
      <c r="C286" s="28">
        <v>45928</v>
      </c>
      <c r="D286" s="26" t="s">
        <v>572</v>
      </c>
      <c r="E286" s="26">
        <v>7</v>
      </c>
      <c r="F286" s="26" t="s">
        <v>8</v>
      </c>
      <c r="G286" s="26">
        <v>7</v>
      </c>
      <c r="H286" s="26" t="s">
        <v>8</v>
      </c>
      <c r="I286" s="26" t="s">
        <v>573</v>
      </c>
      <c r="J286" s="26" t="s">
        <v>524</v>
      </c>
      <c r="K286" s="26">
        <v>524602</v>
      </c>
      <c r="L286" s="26">
        <v>55642</v>
      </c>
      <c r="M286" s="26" t="s">
        <v>525</v>
      </c>
      <c r="N286" s="31">
        <v>0.91241898148148148</v>
      </c>
      <c r="O286" s="32"/>
      <c r="P286" s="26" t="s">
        <v>526</v>
      </c>
      <c r="Q286" s="26" t="s">
        <v>527</v>
      </c>
      <c r="R286" s="32"/>
      <c r="S286" s="26" t="b">
        <v>0</v>
      </c>
      <c r="T286" s="32"/>
      <c r="U286" s="26" t="b">
        <v>1</v>
      </c>
    </row>
    <row r="287" spans="1:21" ht="16" x14ac:dyDescent="0.2">
      <c r="A287" s="25">
        <v>6982</v>
      </c>
      <c r="B287" s="26" t="s">
        <v>528</v>
      </c>
      <c r="C287" s="28">
        <v>45927</v>
      </c>
      <c r="D287" s="26" t="s">
        <v>529</v>
      </c>
      <c r="E287" s="26">
        <v>0.11</v>
      </c>
      <c r="F287" s="26" t="s">
        <v>8</v>
      </c>
      <c r="G287" s="26">
        <v>0.11</v>
      </c>
      <c r="H287" s="26" t="s">
        <v>8</v>
      </c>
      <c r="I287" s="26" t="s">
        <v>530</v>
      </c>
      <c r="J287" s="26" t="s">
        <v>524</v>
      </c>
      <c r="K287" s="26">
        <v>524548</v>
      </c>
      <c r="L287" s="26">
        <v>12696</v>
      </c>
      <c r="M287" s="26" t="s">
        <v>525</v>
      </c>
      <c r="N287" s="31">
        <v>0.2621412037037037</v>
      </c>
      <c r="O287" s="26" t="s">
        <v>531</v>
      </c>
      <c r="P287" s="26" t="s">
        <v>526</v>
      </c>
      <c r="Q287" s="26" t="s">
        <v>527</v>
      </c>
      <c r="R287" s="32"/>
      <c r="S287" s="26" t="b">
        <v>0</v>
      </c>
      <c r="T287" s="32"/>
      <c r="U287" s="26" t="b">
        <v>1</v>
      </c>
    </row>
    <row r="288" spans="1:21" ht="16" x14ac:dyDescent="0.2">
      <c r="A288" s="25">
        <v>6982</v>
      </c>
      <c r="B288" s="26" t="s">
        <v>550</v>
      </c>
      <c r="C288" s="28">
        <v>45927</v>
      </c>
      <c r="D288" s="26" t="s">
        <v>574</v>
      </c>
      <c r="E288" s="26">
        <v>17.510000000000002</v>
      </c>
      <c r="F288" s="26" t="s">
        <v>8</v>
      </c>
      <c r="G288" s="26">
        <v>20</v>
      </c>
      <c r="H288" s="26" t="s">
        <v>534</v>
      </c>
      <c r="I288" s="26" t="s">
        <v>575</v>
      </c>
      <c r="J288" s="26" t="s">
        <v>524</v>
      </c>
      <c r="K288" s="26">
        <v>524558</v>
      </c>
      <c r="L288" s="26">
        <v>7789</v>
      </c>
      <c r="M288" s="26" t="s">
        <v>525</v>
      </c>
      <c r="N288" s="31">
        <v>0.41377314814814814</v>
      </c>
      <c r="O288" s="32"/>
      <c r="P288" s="26" t="s">
        <v>526</v>
      </c>
      <c r="Q288" s="26" t="s">
        <v>527</v>
      </c>
      <c r="R288" s="32"/>
      <c r="S288" s="26" t="b">
        <v>0</v>
      </c>
      <c r="T288" s="32"/>
      <c r="U288" s="26" t="b">
        <v>1</v>
      </c>
    </row>
    <row r="289" spans="1:21" ht="16" x14ac:dyDescent="0.2">
      <c r="A289" s="25">
        <v>6982</v>
      </c>
      <c r="B289" s="26" t="s">
        <v>521</v>
      </c>
      <c r="C289" s="28">
        <v>45927</v>
      </c>
      <c r="D289" s="29" t="s">
        <v>660</v>
      </c>
      <c r="E289" s="26">
        <v>24.99</v>
      </c>
      <c r="F289" s="26" t="s">
        <v>8</v>
      </c>
      <c r="G289" s="26">
        <v>24.99</v>
      </c>
      <c r="H289" s="26" t="s">
        <v>8</v>
      </c>
      <c r="I289" s="26" t="s">
        <v>523</v>
      </c>
      <c r="J289" s="26" t="s">
        <v>524</v>
      </c>
      <c r="K289" s="26">
        <v>524568</v>
      </c>
      <c r="L289" s="26">
        <v>19661</v>
      </c>
      <c r="M289" s="26" t="s">
        <v>525</v>
      </c>
      <c r="N289" s="31">
        <v>0.75114583333333329</v>
      </c>
      <c r="O289" s="32"/>
      <c r="P289" s="26" t="s">
        <v>526</v>
      </c>
      <c r="Q289" s="26" t="s">
        <v>527</v>
      </c>
      <c r="R289" s="32"/>
      <c r="S289" s="26" t="b">
        <v>0</v>
      </c>
      <c r="T289" s="32"/>
      <c r="U289" s="26" t="b">
        <v>1</v>
      </c>
    </row>
    <row r="290" spans="1:21" ht="16" x14ac:dyDescent="0.2">
      <c r="A290" s="32"/>
      <c r="B290" s="26" t="s">
        <v>630</v>
      </c>
      <c r="C290" s="28">
        <v>45927</v>
      </c>
      <c r="D290" s="26" t="s">
        <v>568</v>
      </c>
      <c r="E290" s="26">
        <v>-1612.42</v>
      </c>
      <c r="F290" s="26" t="s">
        <v>8</v>
      </c>
      <c r="G290" s="26">
        <v>-1612.42</v>
      </c>
      <c r="H290" s="26" t="s">
        <v>8</v>
      </c>
      <c r="I290" s="32"/>
      <c r="J290" s="26" t="s">
        <v>569</v>
      </c>
      <c r="K290" s="26">
        <v>524529</v>
      </c>
      <c r="L290" s="26">
        <v>53663</v>
      </c>
      <c r="M290" s="26" t="s">
        <v>554</v>
      </c>
      <c r="N290" s="32"/>
      <c r="O290" s="32"/>
      <c r="P290" s="32"/>
      <c r="Q290" s="32"/>
      <c r="R290" s="32"/>
      <c r="S290" s="26" t="b">
        <v>0</v>
      </c>
      <c r="T290" s="32"/>
      <c r="U290" s="26" t="b">
        <v>0</v>
      </c>
    </row>
    <row r="291" spans="1:21" ht="16" x14ac:dyDescent="0.2">
      <c r="A291" s="25">
        <v>6982</v>
      </c>
      <c r="B291" s="26" t="s">
        <v>528</v>
      </c>
      <c r="C291" s="28">
        <v>45926</v>
      </c>
      <c r="D291" s="26" t="s">
        <v>529</v>
      </c>
      <c r="E291" s="26">
        <v>3.18</v>
      </c>
      <c r="F291" s="26" t="s">
        <v>8</v>
      </c>
      <c r="G291" s="26">
        <v>3.18</v>
      </c>
      <c r="H291" s="26" t="s">
        <v>8</v>
      </c>
      <c r="I291" s="26" t="s">
        <v>530</v>
      </c>
      <c r="J291" s="26" t="s">
        <v>524</v>
      </c>
      <c r="K291" s="26">
        <v>524510</v>
      </c>
      <c r="L291" s="26">
        <v>14099</v>
      </c>
      <c r="M291" s="26" t="s">
        <v>525</v>
      </c>
      <c r="N291" s="31">
        <v>0.27401620370370372</v>
      </c>
      <c r="O291" s="26" t="s">
        <v>531</v>
      </c>
      <c r="P291" s="26" t="s">
        <v>526</v>
      </c>
      <c r="Q291" s="26" t="s">
        <v>527</v>
      </c>
      <c r="R291" s="32"/>
      <c r="S291" s="26" t="b">
        <v>0</v>
      </c>
      <c r="T291" s="32"/>
      <c r="U291" s="26" t="b">
        <v>1</v>
      </c>
    </row>
    <row r="292" spans="1:21" ht="16" x14ac:dyDescent="0.2">
      <c r="A292" s="25">
        <v>6982</v>
      </c>
      <c r="B292" s="26" t="s">
        <v>560</v>
      </c>
      <c r="C292" s="28">
        <v>45926</v>
      </c>
      <c r="D292" s="26" t="s">
        <v>675</v>
      </c>
      <c r="E292" s="26">
        <v>2.99</v>
      </c>
      <c r="F292" s="26" t="s">
        <v>8</v>
      </c>
      <c r="G292" s="26">
        <v>2.99</v>
      </c>
      <c r="H292" s="26" t="s">
        <v>8</v>
      </c>
      <c r="I292" s="26" t="s">
        <v>547</v>
      </c>
      <c r="J292" s="26" t="s">
        <v>524</v>
      </c>
      <c r="K292" s="26">
        <v>524534</v>
      </c>
      <c r="L292" s="26">
        <v>42628</v>
      </c>
      <c r="M292" s="26" t="s">
        <v>525</v>
      </c>
      <c r="N292" s="31">
        <v>0.94840277777777782</v>
      </c>
      <c r="O292" s="32"/>
      <c r="P292" s="26" t="s">
        <v>526</v>
      </c>
      <c r="Q292" s="26" t="s">
        <v>527</v>
      </c>
      <c r="R292" s="32"/>
      <c r="S292" s="26" t="b">
        <v>0</v>
      </c>
      <c r="T292" s="32"/>
      <c r="U292" s="26" t="b">
        <v>1</v>
      </c>
    </row>
    <row r="293" spans="1:21" ht="16" x14ac:dyDescent="0.2">
      <c r="A293" s="25">
        <v>6982</v>
      </c>
      <c r="B293" s="26" t="s">
        <v>528</v>
      </c>
      <c r="C293" s="28">
        <v>45925</v>
      </c>
      <c r="D293" s="26" t="s">
        <v>529</v>
      </c>
      <c r="E293" s="26">
        <v>0.54</v>
      </c>
      <c r="F293" s="26" t="s">
        <v>8</v>
      </c>
      <c r="G293" s="26">
        <v>0.54</v>
      </c>
      <c r="H293" s="26" t="s">
        <v>8</v>
      </c>
      <c r="I293" s="26" t="s">
        <v>530</v>
      </c>
      <c r="J293" s="26" t="s">
        <v>524</v>
      </c>
      <c r="K293" s="26">
        <v>524468</v>
      </c>
      <c r="L293" s="26">
        <v>15858</v>
      </c>
      <c r="M293" s="26" t="s">
        <v>525</v>
      </c>
      <c r="N293" s="31">
        <v>0.26868055555555553</v>
      </c>
      <c r="O293" s="26" t="s">
        <v>531</v>
      </c>
      <c r="P293" s="26" t="s">
        <v>526</v>
      </c>
      <c r="Q293" s="26" t="s">
        <v>527</v>
      </c>
      <c r="R293" s="32"/>
      <c r="S293" s="26" t="b">
        <v>0</v>
      </c>
      <c r="T293" s="32"/>
      <c r="U293" s="26" t="b">
        <v>1</v>
      </c>
    </row>
    <row r="294" spans="1:21" ht="16" x14ac:dyDescent="0.2">
      <c r="A294" s="25">
        <v>6982</v>
      </c>
      <c r="B294" s="26" t="s">
        <v>521</v>
      </c>
      <c r="C294" s="28">
        <v>45925</v>
      </c>
      <c r="D294" s="30" t="s">
        <v>522</v>
      </c>
      <c r="E294" s="26">
        <v>8.99</v>
      </c>
      <c r="F294" s="26" t="s">
        <v>8</v>
      </c>
      <c r="G294" s="26">
        <v>8.99</v>
      </c>
      <c r="H294" s="26" t="s">
        <v>8</v>
      </c>
      <c r="I294" s="26" t="s">
        <v>523</v>
      </c>
      <c r="J294" s="26" t="s">
        <v>524</v>
      </c>
      <c r="K294" s="26">
        <v>524489</v>
      </c>
      <c r="L294" s="26">
        <v>62180</v>
      </c>
      <c r="M294" s="26" t="s">
        <v>525</v>
      </c>
      <c r="N294" s="31">
        <v>0.19927083333333331</v>
      </c>
      <c r="O294" s="32"/>
      <c r="P294" s="26" t="s">
        <v>526</v>
      </c>
      <c r="Q294" s="26" t="s">
        <v>527</v>
      </c>
      <c r="R294" s="32"/>
      <c r="S294" s="26" t="b">
        <v>0</v>
      </c>
      <c r="T294" s="32"/>
      <c r="U294" s="26" t="b">
        <v>1</v>
      </c>
    </row>
    <row r="295" spans="1:21" ht="16" x14ac:dyDescent="0.2">
      <c r="A295" s="25">
        <v>6982</v>
      </c>
      <c r="B295" s="26" t="s">
        <v>579</v>
      </c>
      <c r="C295" s="28">
        <v>45925</v>
      </c>
      <c r="D295" s="26" t="s">
        <v>676</v>
      </c>
      <c r="E295" s="26">
        <v>4.99</v>
      </c>
      <c r="F295" s="26" t="s">
        <v>8</v>
      </c>
      <c r="G295" s="26">
        <v>4.99</v>
      </c>
      <c r="H295" s="26" t="s">
        <v>8</v>
      </c>
      <c r="I295" s="26" t="s">
        <v>581</v>
      </c>
      <c r="J295" s="26" t="s">
        <v>524</v>
      </c>
      <c r="K295" s="26">
        <v>524489</v>
      </c>
      <c r="L295" s="26">
        <v>63362</v>
      </c>
      <c r="M295" s="26" t="s">
        <v>554</v>
      </c>
      <c r="N295" s="31">
        <v>0.70221064814814815</v>
      </c>
      <c r="O295" s="32"/>
      <c r="P295" s="26" t="s">
        <v>526</v>
      </c>
      <c r="Q295" s="26" t="s">
        <v>527</v>
      </c>
      <c r="R295" s="32"/>
      <c r="S295" s="26" t="b">
        <v>0</v>
      </c>
      <c r="T295" s="32"/>
      <c r="U295" s="26" t="b">
        <v>1</v>
      </c>
    </row>
    <row r="296" spans="1:21" ht="16" x14ac:dyDescent="0.2">
      <c r="A296" s="25">
        <v>6982</v>
      </c>
      <c r="B296" s="26" t="s">
        <v>528</v>
      </c>
      <c r="C296" s="28">
        <v>45924</v>
      </c>
      <c r="D296" s="26" t="s">
        <v>529</v>
      </c>
      <c r="E296" s="26">
        <v>0.6</v>
      </c>
      <c r="F296" s="26" t="s">
        <v>8</v>
      </c>
      <c r="G296" s="26">
        <v>0.6</v>
      </c>
      <c r="H296" s="26" t="s">
        <v>8</v>
      </c>
      <c r="I296" s="26" t="s">
        <v>530</v>
      </c>
      <c r="J296" s="26" t="s">
        <v>524</v>
      </c>
      <c r="K296" s="26">
        <v>524413</v>
      </c>
      <c r="L296" s="26">
        <v>27275</v>
      </c>
      <c r="M296" s="26" t="s">
        <v>525</v>
      </c>
      <c r="N296" s="31">
        <v>0.24386574074074074</v>
      </c>
      <c r="O296" s="26" t="s">
        <v>531</v>
      </c>
      <c r="P296" s="26" t="s">
        <v>526</v>
      </c>
      <c r="Q296" s="26" t="s">
        <v>527</v>
      </c>
      <c r="R296" s="32"/>
      <c r="S296" s="26" t="b">
        <v>0</v>
      </c>
      <c r="T296" s="32"/>
      <c r="U296" s="26" t="b">
        <v>1</v>
      </c>
    </row>
    <row r="297" spans="1:21" ht="16" x14ac:dyDescent="0.2">
      <c r="A297" s="25">
        <v>6982</v>
      </c>
      <c r="B297" s="26" t="s">
        <v>563</v>
      </c>
      <c r="C297" s="28">
        <v>45923</v>
      </c>
      <c r="D297" s="26" t="s">
        <v>582</v>
      </c>
      <c r="E297" s="26">
        <v>78.27</v>
      </c>
      <c r="F297" s="26" t="s">
        <v>8</v>
      </c>
      <c r="G297" s="26">
        <v>90</v>
      </c>
      <c r="H297" s="26" t="s">
        <v>534</v>
      </c>
      <c r="I297" s="26" t="s">
        <v>535</v>
      </c>
      <c r="J297" s="26" t="s">
        <v>524</v>
      </c>
      <c r="K297" s="26">
        <v>524366</v>
      </c>
      <c r="L297" s="26">
        <v>35665</v>
      </c>
      <c r="M297" s="26" t="s">
        <v>525</v>
      </c>
      <c r="N297" s="31">
        <v>0.84928240740740746</v>
      </c>
      <c r="O297" s="32"/>
      <c r="P297" s="26" t="s">
        <v>526</v>
      </c>
      <c r="Q297" s="26" t="s">
        <v>527</v>
      </c>
      <c r="R297" s="32"/>
      <c r="S297" s="26" t="b">
        <v>0</v>
      </c>
      <c r="T297" s="32"/>
      <c r="U297" s="26" t="b">
        <v>1</v>
      </c>
    </row>
    <row r="298" spans="1:21" ht="16" x14ac:dyDescent="0.2">
      <c r="A298" s="25">
        <v>6982</v>
      </c>
      <c r="B298" s="26" t="s">
        <v>528</v>
      </c>
      <c r="C298" s="28">
        <v>45923</v>
      </c>
      <c r="D298" s="30" t="s">
        <v>677</v>
      </c>
      <c r="E298" s="26">
        <v>12.29</v>
      </c>
      <c r="F298" s="26" t="s">
        <v>8</v>
      </c>
      <c r="G298" s="26">
        <v>12.29</v>
      </c>
      <c r="H298" s="26" t="s">
        <v>8</v>
      </c>
      <c r="I298" s="26" t="s">
        <v>577</v>
      </c>
      <c r="J298" s="26" t="s">
        <v>524</v>
      </c>
      <c r="K298" s="26">
        <v>524372</v>
      </c>
      <c r="L298" s="26">
        <v>4637</v>
      </c>
      <c r="M298" s="26" t="s">
        <v>525</v>
      </c>
      <c r="N298" s="31">
        <v>0.63664351851851853</v>
      </c>
      <c r="O298" s="32"/>
      <c r="P298" s="26" t="s">
        <v>526</v>
      </c>
      <c r="Q298" s="26" t="s">
        <v>527</v>
      </c>
      <c r="R298" s="32"/>
      <c r="S298" s="26" t="b">
        <v>0</v>
      </c>
      <c r="T298" s="32"/>
      <c r="U298" s="26" t="b">
        <v>1</v>
      </c>
    </row>
    <row r="299" spans="1:21" ht="16" x14ac:dyDescent="0.2">
      <c r="A299" s="25">
        <v>6982</v>
      </c>
      <c r="B299" s="26" t="s">
        <v>550</v>
      </c>
      <c r="C299" s="28">
        <v>45923</v>
      </c>
      <c r="D299" s="26" t="s">
        <v>557</v>
      </c>
      <c r="E299" s="26">
        <v>21.78</v>
      </c>
      <c r="F299" s="26" t="s">
        <v>8</v>
      </c>
      <c r="G299" s="26">
        <v>21.78</v>
      </c>
      <c r="H299" s="26" t="s">
        <v>8</v>
      </c>
      <c r="I299" s="26" t="s">
        <v>535</v>
      </c>
      <c r="J299" s="26" t="s">
        <v>524</v>
      </c>
      <c r="K299" s="26">
        <v>524393</v>
      </c>
      <c r="L299" s="26">
        <v>8752</v>
      </c>
      <c r="M299" s="26" t="s">
        <v>525</v>
      </c>
      <c r="N299" s="31">
        <v>0.4209606481481481</v>
      </c>
      <c r="O299" s="32"/>
      <c r="P299" s="26" t="s">
        <v>526</v>
      </c>
      <c r="Q299" s="26" t="s">
        <v>527</v>
      </c>
      <c r="R299" s="32"/>
      <c r="S299" s="26" t="b">
        <v>0</v>
      </c>
      <c r="T299" s="32"/>
      <c r="U299" s="26" t="b">
        <v>1</v>
      </c>
    </row>
    <row r="300" spans="1:21" ht="16" x14ac:dyDescent="0.2">
      <c r="A300" s="25">
        <v>6982</v>
      </c>
      <c r="B300" s="26" t="s">
        <v>521</v>
      </c>
      <c r="C300" s="28">
        <v>45923</v>
      </c>
      <c r="D300" s="29" t="s">
        <v>660</v>
      </c>
      <c r="E300" s="26">
        <v>14.99</v>
      </c>
      <c r="F300" s="26" t="s">
        <v>8</v>
      </c>
      <c r="G300" s="26">
        <v>14.99</v>
      </c>
      <c r="H300" s="26" t="s">
        <v>8</v>
      </c>
      <c r="I300" s="26" t="s">
        <v>523</v>
      </c>
      <c r="J300" s="26" t="s">
        <v>524</v>
      </c>
      <c r="K300" s="26">
        <v>524413</v>
      </c>
      <c r="L300" s="26">
        <v>7910</v>
      </c>
      <c r="M300" s="26" t="s">
        <v>525</v>
      </c>
      <c r="N300" s="31">
        <v>0.79776620370370377</v>
      </c>
      <c r="O300" s="32"/>
      <c r="P300" s="26" t="s">
        <v>526</v>
      </c>
      <c r="Q300" s="26" t="s">
        <v>527</v>
      </c>
      <c r="R300" s="32"/>
      <c r="S300" s="26" t="b">
        <v>0</v>
      </c>
      <c r="T300" s="32"/>
      <c r="U300" s="26" t="b">
        <v>1</v>
      </c>
    </row>
    <row r="301" spans="1:21" ht="16" x14ac:dyDescent="0.2">
      <c r="A301" s="25">
        <v>6982</v>
      </c>
      <c r="B301" s="26" t="s">
        <v>528</v>
      </c>
      <c r="C301" s="28">
        <v>45922</v>
      </c>
      <c r="D301" s="26" t="s">
        <v>529</v>
      </c>
      <c r="E301" s="26">
        <v>5.44</v>
      </c>
      <c r="F301" s="26" t="s">
        <v>8</v>
      </c>
      <c r="G301" s="26">
        <v>5.44</v>
      </c>
      <c r="H301" s="26" t="s">
        <v>8</v>
      </c>
      <c r="I301" s="26" t="s">
        <v>530</v>
      </c>
      <c r="J301" s="26" t="s">
        <v>524</v>
      </c>
      <c r="K301" s="26">
        <v>524337</v>
      </c>
      <c r="L301" s="26">
        <v>17128</v>
      </c>
      <c r="M301" s="26" t="s">
        <v>525</v>
      </c>
      <c r="N301" s="31">
        <v>0.26851851851851855</v>
      </c>
      <c r="O301" s="26" t="s">
        <v>531</v>
      </c>
      <c r="P301" s="26" t="s">
        <v>526</v>
      </c>
      <c r="Q301" s="26" t="s">
        <v>527</v>
      </c>
      <c r="R301" s="32"/>
      <c r="S301" s="26" t="b">
        <v>0</v>
      </c>
      <c r="T301" s="32"/>
      <c r="U301" s="26" t="b">
        <v>1</v>
      </c>
    </row>
    <row r="302" spans="1:21" ht="16" x14ac:dyDescent="0.2">
      <c r="A302" s="25">
        <v>6982</v>
      </c>
      <c r="B302" s="26" t="s">
        <v>550</v>
      </c>
      <c r="C302" s="28">
        <v>45922</v>
      </c>
      <c r="D302" s="26" t="s">
        <v>678</v>
      </c>
      <c r="E302" s="26">
        <v>27.11</v>
      </c>
      <c r="F302" s="26" t="s">
        <v>8</v>
      </c>
      <c r="G302" s="26">
        <v>31.17</v>
      </c>
      <c r="H302" s="26" t="s">
        <v>534</v>
      </c>
      <c r="I302" s="26" t="s">
        <v>575</v>
      </c>
      <c r="J302" s="26" t="s">
        <v>524</v>
      </c>
      <c r="K302" s="26">
        <v>524352</v>
      </c>
      <c r="L302" s="26">
        <v>9455</v>
      </c>
      <c r="M302" s="26" t="s">
        <v>525</v>
      </c>
      <c r="N302" s="31">
        <v>0.46513888888888894</v>
      </c>
      <c r="O302" s="32"/>
      <c r="P302" s="26" t="s">
        <v>526</v>
      </c>
      <c r="Q302" s="26" t="s">
        <v>527</v>
      </c>
      <c r="R302" s="32"/>
      <c r="S302" s="26" t="b">
        <v>0</v>
      </c>
      <c r="T302" s="32"/>
      <c r="U302" s="26" t="b">
        <v>1</v>
      </c>
    </row>
    <row r="303" spans="1:21" ht="16" x14ac:dyDescent="0.2">
      <c r="A303" s="25">
        <v>6982</v>
      </c>
      <c r="B303" s="26" t="s">
        <v>521</v>
      </c>
      <c r="C303" s="28">
        <v>45922</v>
      </c>
      <c r="D303" s="29" t="s">
        <v>660</v>
      </c>
      <c r="E303" s="26">
        <v>22.99</v>
      </c>
      <c r="F303" s="26" t="s">
        <v>8</v>
      </c>
      <c r="G303" s="26">
        <v>22.99</v>
      </c>
      <c r="H303" s="26" t="s">
        <v>8</v>
      </c>
      <c r="I303" s="26" t="s">
        <v>523</v>
      </c>
      <c r="J303" s="26" t="s">
        <v>524</v>
      </c>
      <c r="K303" s="26">
        <v>524366</v>
      </c>
      <c r="L303" s="26">
        <v>18258</v>
      </c>
      <c r="M303" s="26" t="s">
        <v>525</v>
      </c>
      <c r="N303" s="31">
        <v>0.4926388888888889</v>
      </c>
      <c r="O303" s="32"/>
      <c r="P303" s="26" t="s">
        <v>526</v>
      </c>
      <c r="Q303" s="26" t="s">
        <v>527</v>
      </c>
      <c r="R303" s="32"/>
      <c r="S303" s="26" t="b">
        <v>0</v>
      </c>
      <c r="T303" s="32"/>
      <c r="U303" s="26" t="b">
        <v>1</v>
      </c>
    </row>
    <row r="304" spans="1:21" ht="16" x14ac:dyDescent="0.2">
      <c r="A304" s="25">
        <v>6982</v>
      </c>
      <c r="B304" s="26" t="s">
        <v>521</v>
      </c>
      <c r="C304" s="28">
        <v>45921</v>
      </c>
      <c r="D304" s="29" t="s">
        <v>660</v>
      </c>
      <c r="E304" s="26">
        <v>13.99</v>
      </c>
      <c r="F304" s="26" t="s">
        <v>8</v>
      </c>
      <c r="G304" s="26">
        <v>13.99</v>
      </c>
      <c r="H304" s="26" t="s">
        <v>8</v>
      </c>
      <c r="I304" s="26" t="s">
        <v>523</v>
      </c>
      <c r="J304" s="26" t="s">
        <v>524</v>
      </c>
      <c r="K304" s="26">
        <v>524308</v>
      </c>
      <c r="L304" s="26">
        <v>4365</v>
      </c>
      <c r="M304" s="26" t="s">
        <v>525</v>
      </c>
      <c r="N304" s="31">
        <v>0.15379629629629629</v>
      </c>
      <c r="O304" s="26" t="s">
        <v>531</v>
      </c>
      <c r="P304" s="26" t="s">
        <v>526</v>
      </c>
      <c r="Q304" s="26" t="s">
        <v>527</v>
      </c>
      <c r="R304" s="32"/>
      <c r="S304" s="26" t="b">
        <v>0</v>
      </c>
      <c r="T304" s="32"/>
      <c r="U304" s="26" t="b">
        <v>1</v>
      </c>
    </row>
    <row r="305" spans="1:21" ht="16" x14ac:dyDescent="0.2">
      <c r="A305" s="25">
        <v>6982</v>
      </c>
      <c r="B305" s="26" t="s">
        <v>521</v>
      </c>
      <c r="C305" s="28">
        <v>45921</v>
      </c>
      <c r="D305" s="29" t="s">
        <v>660</v>
      </c>
      <c r="E305" s="26">
        <v>14.99</v>
      </c>
      <c r="F305" s="26" t="s">
        <v>8</v>
      </c>
      <c r="G305" s="26">
        <v>14.99</v>
      </c>
      <c r="H305" s="26" t="s">
        <v>8</v>
      </c>
      <c r="I305" s="26" t="s">
        <v>523</v>
      </c>
      <c r="J305" s="26" t="s">
        <v>524</v>
      </c>
      <c r="K305" s="26">
        <v>524325</v>
      </c>
      <c r="L305" s="26">
        <v>19899</v>
      </c>
      <c r="M305" s="26" t="s">
        <v>525</v>
      </c>
      <c r="N305" s="31">
        <v>0.38744212962962959</v>
      </c>
      <c r="O305" s="26" t="s">
        <v>531</v>
      </c>
      <c r="P305" s="26" t="s">
        <v>526</v>
      </c>
      <c r="Q305" s="26" t="s">
        <v>527</v>
      </c>
      <c r="R305" s="32"/>
      <c r="S305" s="26" t="b">
        <v>0</v>
      </c>
      <c r="T305" s="32"/>
      <c r="U305" s="26" t="b">
        <v>1</v>
      </c>
    </row>
    <row r="306" spans="1:21" ht="16" x14ac:dyDescent="0.2">
      <c r="A306" s="25">
        <v>6982</v>
      </c>
      <c r="B306" s="26" t="s">
        <v>521</v>
      </c>
      <c r="C306" s="28">
        <v>45921</v>
      </c>
      <c r="D306" s="29" t="s">
        <v>660</v>
      </c>
      <c r="E306" s="26">
        <v>16.989999999999998</v>
      </c>
      <c r="F306" s="26" t="s">
        <v>8</v>
      </c>
      <c r="G306" s="26">
        <v>16.989999999999998</v>
      </c>
      <c r="H306" s="26" t="s">
        <v>8</v>
      </c>
      <c r="I306" s="26" t="s">
        <v>523</v>
      </c>
      <c r="J306" s="26" t="s">
        <v>524</v>
      </c>
      <c r="K306" s="26">
        <v>524325</v>
      </c>
      <c r="L306" s="26">
        <v>26335</v>
      </c>
      <c r="M306" s="26" t="s">
        <v>525</v>
      </c>
      <c r="N306" s="31">
        <v>0.53394675925925927</v>
      </c>
      <c r="O306" s="26" t="s">
        <v>531</v>
      </c>
      <c r="P306" s="26" t="s">
        <v>526</v>
      </c>
      <c r="Q306" s="26" t="s">
        <v>527</v>
      </c>
      <c r="R306" s="32"/>
      <c r="S306" s="26" t="b">
        <v>0</v>
      </c>
      <c r="T306" s="32"/>
      <c r="U306" s="26" t="b">
        <v>1</v>
      </c>
    </row>
    <row r="307" spans="1:21" ht="16" x14ac:dyDescent="0.2">
      <c r="A307" s="25">
        <v>6982</v>
      </c>
      <c r="B307" s="26" t="s">
        <v>583</v>
      </c>
      <c r="C307" s="28">
        <v>45921</v>
      </c>
      <c r="D307" s="26" t="s">
        <v>679</v>
      </c>
      <c r="E307" s="26">
        <v>7.49</v>
      </c>
      <c r="F307" s="26" t="s">
        <v>8</v>
      </c>
      <c r="G307" s="26">
        <v>7.49</v>
      </c>
      <c r="H307" s="26" t="s">
        <v>8</v>
      </c>
      <c r="I307" s="26" t="s">
        <v>565</v>
      </c>
      <c r="J307" s="26" t="s">
        <v>524</v>
      </c>
      <c r="K307" s="26">
        <v>524325</v>
      </c>
      <c r="L307" s="26">
        <v>58691</v>
      </c>
      <c r="M307" s="26" t="s">
        <v>525</v>
      </c>
      <c r="N307" s="31">
        <v>0.84046296296296286</v>
      </c>
      <c r="O307" s="32"/>
      <c r="P307" s="26" t="s">
        <v>526</v>
      </c>
      <c r="Q307" s="26" t="s">
        <v>527</v>
      </c>
      <c r="R307" s="32"/>
      <c r="S307" s="26" t="b">
        <v>0</v>
      </c>
      <c r="T307" s="32"/>
      <c r="U307" s="26" t="b">
        <v>1</v>
      </c>
    </row>
    <row r="308" spans="1:21" ht="16" x14ac:dyDescent="0.2">
      <c r="A308" s="25">
        <v>6982</v>
      </c>
      <c r="B308" s="26" t="s">
        <v>563</v>
      </c>
      <c r="C308" s="28">
        <v>45921</v>
      </c>
      <c r="D308" s="26" t="s">
        <v>564</v>
      </c>
      <c r="E308" s="26">
        <v>19.989999999999998</v>
      </c>
      <c r="F308" s="26" t="s">
        <v>8</v>
      </c>
      <c r="G308" s="26">
        <v>19.989999999999998</v>
      </c>
      <c r="H308" s="26" t="s">
        <v>8</v>
      </c>
      <c r="I308" s="26" t="s">
        <v>565</v>
      </c>
      <c r="J308" s="26" t="s">
        <v>524</v>
      </c>
      <c r="K308" s="26">
        <v>524366</v>
      </c>
      <c r="L308" s="26">
        <v>5708</v>
      </c>
      <c r="M308" s="26" t="s">
        <v>525</v>
      </c>
      <c r="N308" s="31">
        <v>0.84709490740740734</v>
      </c>
      <c r="O308" s="32"/>
      <c r="P308" s="26" t="s">
        <v>526</v>
      </c>
      <c r="Q308" s="26" t="s">
        <v>527</v>
      </c>
      <c r="R308" s="32"/>
      <c r="S308" s="26" t="b">
        <v>0</v>
      </c>
      <c r="T308" s="32"/>
      <c r="U308" s="26" t="b">
        <v>1</v>
      </c>
    </row>
    <row r="309" spans="1:21" ht="16" x14ac:dyDescent="0.2">
      <c r="A309" s="25">
        <v>6982</v>
      </c>
      <c r="B309" s="26" t="s">
        <v>563</v>
      </c>
      <c r="C309" s="28">
        <v>45921</v>
      </c>
      <c r="D309" s="26" t="s">
        <v>564</v>
      </c>
      <c r="E309" s="26">
        <v>9.99</v>
      </c>
      <c r="F309" s="26" t="s">
        <v>8</v>
      </c>
      <c r="G309" s="26">
        <v>9.99</v>
      </c>
      <c r="H309" s="26" t="s">
        <v>8</v>
      </c>
      <c r="I309" s="26" t="s">
        <v>565</v>
      </c>
      <c r="J309" s="26" t="s">
        <v>524</v>
      </c>
      <c r="K309" s="26">
        <v>524366</v>
      </c>
      <c r="L309" s="26">
        <v>5713</v>
      </c>
      <c r="M309" s="26" t="s">
        <v>525</v>
      </c>
      <c r="N309" s="31">
        <v>0.84256944444444448</v>
      </c>
      <c r="O309" s="32"/>
      <c r="P309" s="26" t="s">
        <v>526</v>
      </c>
      <c r="Q309" s="26" t="s">
        <v>527</v>
      </c>
      <c r="R309" s="32"/>
      <c r="S309" s="26" t="b">
        <v>0</v>
      </c>
      <c r="T309" s="32"/>
      <c r="U309" s="26" t="b">
        <v>1</v>
      </c>
    </row>
    <row r="310" spans="1:21" ht="16" x14ac:dyDescent="0.2">
      <c r="A310" s="25">
        <v>6982</v>
      </c>
      <c r="B310" s="26" t="s">
        <v>528</v>
      </c>
      <c r="C310" s="28">
        <v>45920</v>
      </c>
      <c r="D310" s="26" t="s">
        <v>586</v>
      </c>
      <c r="E310" s="26">
        <v>234.95</v>
      </c>
      <c r="F310" s="26" t="s">
        <v>8</v>
      </c>
      <c r="G310" s="26">
        <v>234.95</v>
      </c>
      <c r="H310" s="26" t="s">
        <v>8</v>
      </c>
      <c r="I310" s="26" t="s">
        <v>587</v>
      </c>
      <c r="J310" s="26" t="s">
        <v>524</v>
      </c>
      <c r="K310" s="26">
        <v>524292</v>
      </c>
      <c r="L310" s="26">
        <v>36774</v>
      </c>
      <c r="M310" s="26" t="s">
        <v>525</v>
      </c>
      <c r="N310" s="31">
        <v>0.67108796296296302</v>
      </c>
      <c r="O310" s="32"/>
      <c r="P310" s="26" t="s">
        <v>526</v>
      </c>
      <c r="Q310" s="26" t="s">
        <v>527</v>
      </c>
      <c r="R310" s="32"/>
      <c r="S310" s="26" t="b">
        <v>0</v>
      </c>
      <c r="T310" s="32"/>
      <c r="U310" s="26" t="b">
        <v>1</v>
      </c>
    </row>
    <row r="311" spans="1:21" ht="16" x14ac:dyDescent="0.2">
      <c r="A311" s="25">
        <v>6982</v>
      </c>
      <c r="B311" s="26" t="s">
        <v>528</v>
      </c>
      <c r="C311" s="28">
        <v>45919</v>
      </c>
      <c r="D311" s="26" t="s">
        <v>529</v>
      </c>
      <c r="E311" s="26">
        <v>0.74</v>
      </c>
      <c r="F311" s="26" t="s">
        <v>8</v>
      </c>
      <c r="G311" s="26">
        <v>0.74</v>
      </c>
      <c r="H311" s="26" t="s">
        <v>8</v>
      </c>
      <c r="I311" s="26" t="s">
        <v>530</v>
      </c>
      <c r="J311" s="26" t="s">
        <v>524</v>
      </c>
      <c r="K311" s="26">
        <v>524233</v>
      </c>
      <c r="L311" s="26">
        <v>15725</v>
      </c>
      <c r="M311" s="26" t="s">
        <v>525</v>
      </c>
      <c r="N311" s="31">
        <v>0.2625925925925926</v>
      </c>
      <c r="O311" s="26" t="s">
        <v>531</v>
      </c>
      <c r="P311" s="26" t="s">
        <v>526</v>
      </c>
      <c r="Q311" s="26" t="s">
        <v>527</v>
      </c>
      <c r="R311" s="32"/>
      <c r="S311" s="26" t="b">
        <v>0</v>
      </c>
      <c r="T311" s="32"/>
      <c r="U311" s="26" t="b">
        <v>1</v>
      </c>
    </row>
    <row r="312" spans="1:21" ht="16" x14ac:dyDescent="0.2">
      <c r="A312" s="25">
        <v>6982</v>
      </c>
      <c r="B312" s="26" t="s">
        <v>583</v>
      </c>
      <c r="C312" s="28">
        <v>45919</v>
      </c>
      <c r="D312" s="26" t="s">
        <v>680</v>
      </c>
      <c r="E312" s="26">
        <v>7.27</v>
      </c>
      <c r="F312" s="26" t="s">
        <v>8</v>
      </c>
      <c r="G312" s="26">
        <v>7.27</v>
      </c>
      <c r="H312" s="26" t="s">
        <v>8</v>
      </c>
      <c r="I312" s="26" t="s">
        <v>565</v>
      </c>
      <c r="J312" s="26" t="s">
        <v>524</v>
      </c>
      <c r="K312" s="26">
        <v>524254</v>
      </c>
      <c r="L312" s="26">
        <v>52993</v>
      </c>
      <c r="M312" s="26" t="s">
        <v>525</v>
      </c>
      <c r="N312" s="31">
        <v>0.64185185185185178</v>
      </c>
      <c r="O312" s="32"/>
      <c r="P312" s="26" t="s">
        <v>526</v>
      </c>
      <c r="Q312" s="26" t="s">
        <v>527</v>
      </c>
      <c r="R312" s="32"/>
      <c r="S312" s="26" t="b">
        <v>0</v>
      </c>
      <c r="T312" s="32"/>
      <c r="U312" s="26" t="b">
        <v>1</v>
      </c>
    </row>
    <row r="313" spans="1:21" ht="16" x14ac:dyDescent="0.2">
      <c r="A313" s="25">
        <v>6982</v>
      </c>
      <c r="B313" s="26" t="s">
        <v>560</v>
      </c>
      <c r="C313" s="28">
        <v>45919</v>
      </c>
      <c r="D313" s="30" t="s">
        <v>590</v>
      </c>
      <c r="E313" s="26">
        <v>8.68</v>
      </c>
      <c r="F313" s="26" t="s">
        <v>8</v>
      </c>
      <c r="G313" s="26">
        <v>10</v>
      </c>
      <c r="H313" s="26" t="s">
        <v>534</v>
      </c>
      <c r="I313" s="26" t="s">
        <v>535</v>
      </c>
      <c r="J313" s="26" t="s">
        <v>524</v>
      </c>
      <c r="K313" s="26">
        <v>524254</v>
      </c>
      <c r="L313" s="26">
        <v>67425</v>
      </c>
      <c r="M313" s="26" t="s">
        <v>525</v>
      </c>
      <c r="N313" s="31">
        <v>0.80439814814814825</v>
      </c>
      <c r="O313" s="32"/>
      <c r="P313" s="26" t="s">
        <v>526</v>
      </c>
      <c r="Q313" s="26" t="s">
        <v>527</v>
      </c>
      <c r="R313" s="32"/>
      <c r="S313" s="26" t="b">
        <v>0</v>
      </c>
      <c r="T313" s="32"/>
      <c r="U313" s="26" t="b">
        <v>1</v>
      </c>
    </row>
    <row r="314" spans="1:21" ht="16" x14ac:dyDescent="0.2">
      <c r="A314" s="25">
        <v>6982</v>
      </c>
      <c r="B314" s="26" t="s">
        <v>528</v>
      </c>
      <c r="C314" s="28">
        <v>45919</v>
      </c>
      <c r="D314" s="26" t="s">
        <v>681</v>
      </c>
      <c r="E314" s="26">
        <v>146.80000000000001</v>
      </c>
      <c r="F314" s="26" t="s">
        <v>8</v>
      </c>
      <c r="G314" s="26">
        <v>146.80000000000001</v>
      </c>
      <c r="H314" s="26" t="s">
        <v>8</v>
      </c>
      <c r="I314" s="26" t="s">
        <v>600</v>
      </c>
      <c r="J314" s="26" t="s">
        <v>524</v>
      </c>
      <c r="K314" s="26">
        <v>524254</v>
      </c>
      <c r="L314" s="26">
        <v>91940</v>
      </c>
      <c r="M314" s="26" t="s">
        <v>554</v>
      </c>
      <c r="N314" s="31">
        <v>0.71084490740740736</v>
      </c>
      <c r="O314" s="26" t="s">
        <v>531</v>
      </c>
      <c r="P314" s="26" t="s">
        <v>526</v>
      </c>
      <c r="Q314" s="26" t="s">
        <v>527</v>
      </c>
      <c r="R314" s="32"/>
      <c r="S314" s="26" t="b">
        <v>0</v>
      </c>
      <c r="T314" s="32"/>
      <c r="U314" s="26" t="b">
        <v>1</v>
      </c>
    </row>
    <row r="315" spans="1:21" ht="16" x14ac:dyDescent="0.2">
      <c r="A315" s="25">
        <v>6982</v>
      </c>
      <c r="B315" s="26" t="s">
        <v>521</v>
      </c>
      <c r="C315" s="28">
        <v>45918</v>
      </c>
      <c r="D315" s="29" t="s">
        <v>660</v>
      </c>
      <c r="E315" s="26">
        <v>7.99</v>
      </c>
      <c r="F315" s="26" t="s">
        <v>8</v>
      </c>
      <c r="G315" s="26">
        <v>7.99</v>
      </c>
      <c r="H315" s="26" t="s">
        <v>8</v>
      </c>
      <c r="I315" s="26" t="s">
        <v>523</v>
      </c>
      <c r="J315" s="26" t="s">
        <v>524</v>
      </c>
      <c r="K315" s="26">
        <v>524213</v>
      </c>
      <c r="L315" s="26">
        <v>16370</v>
      </c>
      <c r="M315" s="26" t="s">
        <v>525</v>
      </c>
      <c r="N315" s="31">
        <v>0.42315972222222226</v>
      </c>
      <c r="O315" s="32"/>
      <c r="P315" s="26" t="s">
        <v>526</v>
      </c>
      <c r="Q315" s="26" t="s">
        <v>527</v>
      </c>
      <c r="R315" s="32"/>
      <c r="S315" s="26" t="b">
        <v>0</v>
      </c>
      <c r="T315" s="32"/>
      <c r="U315" s="26" t="b">
        <v>1</v>
      </c>
    </row>
    <row r="316" spans="1:21" ht="16" x14ac:dyDescent="0.2">
      <c r="A316" s="25">
        <v>6982</v>
      </c>
      <c r="B316" s="26" t="s">
        <v>528</v>
      </c>
      <c r="C316" s="28">
        <v>45917</v>
      </c>
      <c r="D316" s="26" t="s">
        <v>529</v>
      </c>
      <c r="E316" s="26">
        <v>4.1399999999999997</v>
      </c>
      <c r="F316" s="26" t="s">
        <v>8</v>
      </c>
      <c r="G316" s="26">
        <v>4.1399999999999997</v>
      </c>
      <c r="H316" s="26" t="s">
        <v>8</v>
      </c>
      <c r="I316" s="26" t="s">
        <v>530</v>
      </c>
      <c r="J316" s="26" t="s">
        <v>524</v>
      </c>
      <c r="K316" s="26">
        <v>524148</v>
      </c>
      <c r="L316" s="26">
        <v>11791</v>
      </c>
      <c r="M316" s="26" t="s">
        <v>525</v>
      </c>
      <c r="N316" s="31">
        <v>0.34915509259259259</v>
      </c>
      <c r="O316" s="26" t="s">
        <v>531</v>
      </c>
      <c r="P316" s="26" t="s">
        <v>526</v>
      </c>
      <c r="Q316" s="26" t="s">
        <v>527</v>
      </c>
      <c r="R316" s="32"/>
      <c r="S316" s="26" t="b">
        <v>0</v>
      </c>
      <c r="T316" s="32"/>
      <c r="U316" s="26" t="b">
        <v>1</v>
      </c>
    </row>
    <row r="317" spans="1:21" ht="16" x14ac:dyDescent="0.2">
      <c r="A317" s="25">
        <v>6982</v>
      </c>
      <c r="B317" s="26" t="s">
        <v>521</v>
      </c>
      <c r="C317" s="28">
        <v>45917</v>
      </c>
      <c r="D317" s="29" t="s">
        <v>660</v>
      </c>
      <c r="E317" s="26">
        <v>7.99</v>
      </c>
      <c r="F317" s="26" t="s">
        <v>8</v>
      </c>
      <c r="G317" s="26">
        <v>7.99</v>
      </c>
      <c r="H317" s="26" t="s">
        <v>8</v>
      </c>
      <c r="I317" s="26" t="s">
        <v>523</v>
      </c>
      <c r="J317" s="26" t="s">
        <v>524</v>
      </c>
      <c r="K317" s="26">
        <v>524151</v>
      </c>
      <c r="L317" s="26">
        <v>3455</v>
      </c>
      <c r="M317" s="26" t="s">
        <v>525</v>
      </c>
      <c r="N317" s="31">
        <v>0.17719907407407409</v>
      </c>
      <c r="O317" s="32"/>
      <c r="P317" s="26" t="s">
        <v>526</v>
      </c>
      <c r="Q317" s="26" t="s">
        <v>527</v>
      </c>
      <c r="R317" s="32"/>
      <c r="S317" s="26" t="b">
        <v>0</v>
      </c>
      <c r="T317" s="32"/>
      <c r="U317" s="26" t="b">
        <v>1</v>
      </c>
    </row>
    <row r="318" spans="1:21" ht="16" x14ac:dyDescent="0.2">
      <c r="A318" s="25">
        <v>6982</v>
      </c>
      <c r="B318" s="26" t="s">
        <v>528</v>
      </c>
      <c r="C318" s="28">
        <v>45916</v>
      </c>
      <c r="D318" s="26" t="s">
        <v>529</v>
      </c>
      <c r="E318" s="26">
        <v>3.77</v>
      </c>
      <c r="F318" s="26" t="s">
        <v>8</v>
      </c>
      <c r="G318" s="26">
        <v>3.77</v>
      </c>
      <c r="H318" s="26" t="s">
        <v>8</v>
      </c>
      <c r="I318" s="26" t="s">
        <v>530</v>
      </c>
      <c r="J318" s="26" t="s">
        <v>524</v>
      </c>
      <c r="K318" s="26">
        <v>524109</v>
      </c>
      <c r="L318" s="26">
        <v>14144</v>
      </c>
      <c r="M318" s="26" t="s">
        <v>525</v>
      </c>
      <c r="N318" s="31">
        <v>0.28983796296296299</v>
      </c>
      <c r="O318" s="26" t="s">
        <v>531</v>
      </c>
      <c r="P318" s="26" t="s">
        <v>526</v>
      </c>
      <c r="Q318" s="26" t="s">
        <v>527</v>
      </c>
      <c r="R318" s="32"/>
      <c r="S318" s="26" t="b">
        <v>0</v>
      </c>
      <c r="T318" s="32"/>
      <c r="U318" s="26" t="b">
        <v>1</v>
      </c>
    </row>
    <row r="319" spans="1:21" ht="16" x14ac:dyDescent="0.2">
      <c r="A319" s="25">
        <v>6982</v>
      </c>
      <c r="B319" s="26" t="s">
        <v>521</v>
      </c>
      <c r="C319" s="28">
        <v>45916</v>
      </c>
      <c r="D319" s="29" t="s">
        <v>660</v>
      </c>
      <c r="E319" s="26">
        <v>33.99</v>
      </c>
      <c r="F319" s="26" t="s">
        <v>8</v>
      </c>
      <c r="G319" s="26">
        <v>33.99</v>
      </c>
      <c r="H319" s="26" t="s">
        <v>8</v>
      </c>
      <c r="I319" s="26" t="s">
        <v>523</v>
      </c>
      <c r="J319" s="26" t="s">
        <v>524</v>
      </c>
      <c r="K319" s="26">
        <v>524131</v>
      </c>
      <c r="L319" s="26">
        <v>19180</v>
      </c>
      <c r="M319" s="26" t="s">
        <v>525</v>
      </c>
      <c r="N319" s="31">
        <v>0.51547453703703705</v>
      </c>
      <c r="O319" s="32"/>
      <c r="P319" s="26" t="s">
        <v>526</v>
      </c>
      <c r="Q319" s="26" t="s">
        <v>527</v>
      </c>
      <c r="R319" s="32"/>
      <c r="S319" s="26" t="b">
        <v>0</v>
      </c>
      <c r="T319" s="32"/>
      <c r="U319" s="26" t="b">
        <v>1</v>
      </c>
    </row>
    <row r="320" spans="1:21" ht="16" x14ac:dyDescent="0.2">
      <c r="A320" s="25">
        <v>6982</v>
      </c>
      <c r="B320" s="26" t="s">
        <v>521</v>
      </c>
      <c r="C320" s="28">
        <v>45916</v>
      </c>
      <c r="D320" s="29" t="s">
        <v>660</v>
      </c>
      <c r="E320" s="26">
        <v>7.99</v>
      </c>
      <c r="F320" s="26" t="s">
        <v>8</v>
      </c>
      <c r="G320" s="26">
        <v>7.99</v>
      </c>
      <c r="H320" s="26" t="s">
        <v>8</v>
      </c>
      <c r="I320" s="26" t="s">
        <v>523</v>
      </c>
      <c r="J320" s="26" t="s">
        <v>524</v>
      </c>
      <c r="K320" s="26">
        <v>524131</v>
      </c>
      <c r="L320" s="26">
        <v>21849</v>
      </c>
      <c r="M320" s="26" t="s">
        <v>525</v>
      </c>
      <c r="N320" s="31">
        <v>0.57986111111111105</v>
      </c>
      <c r="O320" s="32"/>
      <c r="P320" s="26" t="s">
        <v>526</v>
      </c>
      <c r="Q320" s="26" t="s">
        <v>527</v>
      </c>
      <c r="R320" s="32"/>
      <c r="S320" s="26" t="b">
        <v>0</v>
      </c>
      <c r="T320" s="32"/>
      <c r="U320" s="26" t="b">
        <v>1</v>
      </c>
    </row>
    <row r="321" spans="1:21" ht="16" x14ac:dyDescent="0.2">
      <c r="A321" s="25">
        <v>6982</v>
      </c>
      <c r="B321" s="26" t="s">
        <v>521</v>
      </c>
      <c r="C321" s="28">
        <v>45916</v>
      </c>
      <c r="D321" s="29" t="s">
        <v>660</v>
      </c>
      <c r="E321" s="26">
        <v>7.49</v>
      </c>
      <c r="F321" s="26" t="s">
        <v>8</v>
      </c>
      <c r="G321" s="26">
        <v>7.49</v>
      </c>
      <c r="H321" s="26" t="s">
        <v>8</v>
      </c>
      <c r="I321" s="26" t="s">
        <v>523</v>
      </c>
      <c r="J321" s="26" t="s">
        <v>524</v>
      </c>
      <c r="K321" s="26">
        <v>524131</v>
      </c>
      <c r="L321" s="26">
        <v>22952</v>
      </c>
      <c r="M321" s="26" t="s">
        <v>525</v>
      </c>
      <c r="N321" s="31">
        <v>0.60876157407407405</v>
      </c>
      <c r="O321" s="32"/>
      <c r="P321" s="26" t="s">
        <v>526</v>
      </c>
      <c r="Q321" s="26" t="s">
        <v>527</v>
      </c>
      <c r="R321" s="32"/>
      <c r="S321" s="26" t="b">
        <v>0</v>
      </c>
      <c r="T321" s="32"/>
      <c r="U321" s="26" t="b">
        <v>1</v>
      </c>
    </row>
    <row r="322" spans="1:21" ht="16" x14ac:dyDescent="0.2">
      <c r="A322" s="25">
        <v>6982</v>
      </c>
      <c r="B322" s="26" t="s">
        <v>521</v>
      </c>
      <c r="C322" s="28">
        <v>45915</v>
      </c>
      <c r="D322" s="29" t="s">
        <v>660</v>
      </c>
      <c r="E322" s="26">
        <v>1.99</v>
      </c>
      <c r="F322" s="26" t="s">
        <v>8</v>
      </c>
      <c r="G322" s="26">
        <v>1.99</v>
      </c>
      <c r="H322" s="26" t="s">
        <v>8</v>
      </c>
      <c r="I322" s="26" t="s">
        <v>523</v>
      </c>
      <c r="J322" s="26" t="s">
        <v>524</v>
      </c>
      <c r="K322" s="26">
        <v>524068</v>
      </c>
      <c r="L322" s="26">
        <v>6644</v>
      </c>
      <c r="M322" s="26" t="s">
        <v>525</v>
      </c>
      <c r="N322" s="31">
        <v>0.26986111111111111</v>
      </c>
      <c r="O322" s="26" t="s">
        <v>531</v>
      </c>
      <c r="P322" s="26" t="s">
        <v>526</v>
      </c>
      <c r="Q322" s="26" t="s">
        <v>527</v>
      </c>
      <c r="R322" s="32"/>
      <c r="S322" s="26" t="b">
        <v>0</v>
      </c>
      <c r="T322" s="32"/>
      <c r="U322" s="26" t="b">
        <v>1</v>
      </c>
    </row>
    <row r="323" spans="1:21" ht="16" x14ac:dyDescent="0.2">
      <c r="A323" s="25">
        <v>6982</v>
      </c>
      <c r="B323" s="26" t="s">
        <v>521</v>
      </c>
      <c r="C323" s="28">
        <v>45915</v>
      </c>
      <c r="D323" s="26" t="s">
        <v>682</v>
      </c>
      <c r="E323" s="26">
        <v>11.99</v>
      </c>
      <c r="F323" s="26" t="s">
        <v>8</v>
      </c>
      <c r="G323" s="26">
        <v>11.99</v>
      </c>
      <c r="H323" s="26" t="s">
        <v>8</v>
      </c>
      <c r="I323" s="26" t="s">
        <v>602</v>
      </c>
      <c r="J323" s="26" t="s">
        <v>524</v>
      </c>
      <c r="K323" s="26">
        <v>524089</v>
      </c>
      <c r="L323" s="26">
        <v>39586</v>
      </c>
      <c r="M323" s="26" t="s">
        <v>525</v>
      </c>
      <c r="N323" s="31">
        <v>0.73446759259259264</v>
      </c>
      <c r="O323" s="32"/>
      <c r="P323" s="26" t="s">
        <v>526</v>
      </c>
      <c r="Q323" s="26" t="s">
        <v>527</v>
      </c>
      <c r="R323" s="32"/>
      <c r="S323" s="26" t="b">
        <v>0</v>
      </c>
      <c r="T323" s="32"/>
      <c r="U323" s="26" t="b">
        <v>1</v>
      </c>
    </row>
    <row r="324" spans="1:21" ht="16" x14ac:dyDescent="0.2">
      <c r="A324" s="25">
        <v>6982</v>
      </c>
      <c r="B324" s="26" t="s">
        <v>604</v>
      </c>
      <c r="C324" s="28">
        <v>45914</v>
      </c>
      <c r="D324" s="30" t="s">
        <v>605</v>
      </c>
      <c r="E324" s="26">
        <v>15.81</v>
      </c>
      <c r="F324" s="26" t="s">
        <v>8</v>
      </c>
      <c r="G324" s="26">
        <v>18.14</v>
      </c>
      <c r="H324" s="26" t="s">
        <v>534</v>
      </c>
      <c r="I324" s="26" t="s">
        <v>539</v>
      </c>
      <c r="J324" s="26" t="s">
        <v>524</v>
      </c>
      <c r="K324" s="26">
        <v>524048</v>
      </c>
      <c r="L324" s="26">
        <v>76008</v>
      </c>
      <c r="M324" s="26" t="s">
        <v>525</v>
      </c>
      <c r="N324" s="31">
        <v>0.63364583333333335</v>
      </c>
      <c r="O324" s="32"/>
      <c r="P324" s="26" t="s">
        <v>526</v>
      </c>
      <c r="Q324" s="26" t="s">
        <v>527</v>
      </c>
      <c r="R324" s="32"/>
      <c r="S324" s="26" t="b">
        <v>0</v>
      </c>
      <c r="T324" s="32"/>
      <c r="U324" s="26" t="b">
        <v>1</v>
      </c>
    </row>
    <row r="325" spans="1:21" ht="16" x14ac:dyDescent="0.2">
      <c r="A325" s="25">
        <v>6982</v>
      </c>
      <c r="B325" s="26" t="s">
        <v>528</v>
      </c>
      <c r="C325" s="28">
        <v>45913</v>
      </c>
      <c r="D325" s="26" t="s">
        <v>529</v>
      </c>
      <c r="E325" s="26">
        <v>0.96</v>
      </c>
      <c r="F325" s="26" t="s">
        <v>8</v>
      </c>
      <c r="G325" s="26">
        <v>0.96</v>
      </c>
      <c r="H325" s="26" t="s">
        <v>8</v>
      </c>
      <c r="I325" s="26" t="s">
        <v>530</v>
      </c>
      <c r="J325" s="26" t="s">
        <v>524</v>
      </c>
      <c r="K325" s="26">
        <v>523982</v>
      </c>
      <c r="L325" s="26">
        <v>28752</v>
      </c>
      <c r="M325" s="26" t="s">
        <v>525</v>
      </c>
      <c r="N325" s="31">
        <v>0.24231481481481479</v>
      </c>
      <c r="O325" s="26" t="s">
        <v>531</v>
      </c>
      <c r="P325" s="26" t="s">
        <v>526</v>
      </c>
      <c r="Q325" s="26" t="s">
        <v>527</v>
      </c>
      <c r="R325" s="32"/>
      <c r="S325" s="26" t="b">
        <v>0</v>
      </c>
      <c r="T325" s="32"/>
      <c r="U325" s="26" t="b">
        <v>1</v>
      </c>
    </row>
    <row r="326" spans="1:21" ht="16" x14ac:dyDescent="0.2">
      <c r="A326" s="25">
        <v>6982</v>
      </c>
      <c r="B326" s="26" t="s">
        <v>563</v>
      </c>
      <c r="C326" s="28">
        <v>45913</v>
      </c>
      <c r="D326" s="26" t="s">
        <v>607</v>
      </c>
      <c r="E326" s="26">
        <v>54.23</v>
      </c>
      <c r="F326" s="26" t="s">
        <v>8</v>
      </c>
      <c r="G326" s="26">
        <v>62.21</v>
      </c>
      <c r="H326" s="26" t="s">
        <v>534</v>
      </c>
      <c r="I326" s="26" t="s">
        <v>535</v>
      </c>
      <c r="J326" s="26" t="s">
        <v>524</v>
      </c>
      <c r="K326" s="26">
        <v>524014</v>
      </c>
      <c r="L326" s="26">
        <v>25607</v>
      </c>
      <c r="M326" s="26" t="s">
        <v>525</v>
      </c>
      <c r="N326" s="31">
        <v>0.60207175925925926</v>
      </c>
      <c r="O326" s="32"/>
      <c r="P326" s="26" t="s">
        <v>526</v>
      </c>
      <c r="Q326" s="26" t="s">
        <v>527</v>
      </c>
      <c r="R326" s="32"/>
      <c r="S326" s="26" t="b">
        <v>0</v>
      </c>
      <c r="T326" s="32"/>
      <c r="U326" s="26" t="b">
        <v>1</v>
      </c>
    </row>
    <row r="327" spans="1:21" ht="16" x14ac:dyDescent="0.2">
      <c r="A327" s="25">
        <v>6982</v>
      </c>
      <c r="B327" s="26" t="s">
        <v>528</v>
      </c>
      <c r="C327" s="28">
        <v>45912</v>
      </c>
      <c r="D327" s="26" t="s">
        <v>529</v>
      </c>
      <c r="E327" s="26">
        <v>3.57</v>
      </c>
      <c r="F327" s="26" t="s">
        <v>8</v>
      </c>
      <c r="G327" s="26">
        <v>3.57</v>
      </c>
      <c r="H327" s="26" t="s">
        <v>8</v>
      </c>
      <c r="I327" s="26" t="s">
        <v>530</v>
      </c>
      <c r="J327" s="26" t="s">
        <v>524</v>
      </c>
      <c r="K327" s="26">
        <v>523952</v>
      </c>
      <c r="L327" s="26">
        <v>12344</v>
      </c>
      <c r="M327" s="26" t="s">
        <v>525</v>
      </c>
      <c r="N327" s="31">
        <v>0.27384259259259258</v>
      </c>
      <c r="O327" s="26" t="s">
        <v>531</v>
      </c>
      <c r="P327" s="26" t="s">
        <v>526</v>
      </c>
      <c r="Q327" s="26" t="s">
        <v>527</v>
      </c>
      <c r="R327" s="32"/>
      <c r="S327" s="26" t="b">
        <v>0</v>
      </c>
      <c r="T327" s="32"/>
      <c r="U327" s="26" t="b">
        <v>1</v>
      </c>
    </row>
    <row r="328" spans="1:21" ht="16" x14ac:dyDescent="0.2">
      <c r="A328" s="25">
        <v>6982</v>
      </c>
      <c r="B328" s="26" t="s">
        <v>521</v>
      </c>
      <c r="C328" s="28">
        <v>45912</v>
      </c>
      <c r="D328" s="29" t="s">
        <v>660</v>
      </c>
      <c r="E328" s="26">
        <v>13.99</v>
      </c>
      <c r="F328" s="26" t="s">
        <v>8</v>
      </c>
      <c r="G328" s="26">
        <v>13.99</v>
      </c>
      <c r="H328" s="26" t="s">
        <v>8</v>
      </c>
      <c r="I328" s="26" t="s">
        <v>523</v>
      </c>
      <c r="J328" s="26" t="s">
        <v>524</v>
      </c>
      <c r="K328" s="26">
        <v>523955</v>
      </c>
      <c r="L328" s="26">
        <v>3967</v>
      </c>
      <c r="M328" s="26" t="s">
        <v>525</v>
      </c>
      <c r="N328" s="31">
        <v>0.19564814814814815</v>
      </c>
      <c r="O328" s="32"/>
      <c r="P328" s="26" t="s">
        <v>526</v>
      </c>
      <c r="Q328" s="26" t="s">
        <v>527</v>
      </c>
      <c r="R328" s="32"/>
      <c r="S328" s="26" t="b">
        <v>0</v>
      </c>
      <c r="T328" s="32"/>
      <c r="U328" s="26" t="b">
        <v>1</v>
      </c>
    </row>
    <row r="329" spans="1:21" ht="16" x14ac:dyDescent="0.2">
      <c r="A329" s="25">
        <v>6982</v>
      </c>
      <c r="B329" s="26" t="s">
        <v>521</v>
      </c>
      <c r="C329" s="28">
        <v>45912</v>
      </c>
      <c r="D329" s="29" t="s">
        <v>660</v>
      </c>
      <c r="E329" s="26">
        <v>25.95</v>
      </c>
      <c r="F329" s="26" t="s">
        <v>8</v>
      </c>
      <c r="G329" s="26">
        <v>25.95</v>
      </c>
      <c r="H329" s="26" t="s">
        <v>8</v>
      </c>
      <c r="I329" s="26" t="s">
        <v>523</v>
      </c>
      <c r="J329" s="26" t="s">
        <v>524</v>
      </c>
      <c r="K329" s="26">
        <v>523955</v>
      </c>
      <c r="L329" s="26">
        <v>5066</v>
      </c>
      <c r="M329" s="26" t="s">
        <v>525</v>
      </c>
      <c r="N329" s="31">
        <v>0.2260648148148148</v>
      </c>
      <c r="O329" s="32"/>
      <c r="P329" s="26" t="s">
        <v>526</v>
      </c>
      <c r="Q329" s="26" t="s">
        <v>527</v>
      </c>
      <c r="R329" s="32"/>
      <c r="S329" s="26" t="b">
        <v>0</v>
      </c>
      <c r="T329" s="32"/>
      <c r="U329" s="26" t="b">
        <v>1</v>
      </c>
    </row>
    <row r="330" spans="1:21" ht="16" x14ac:dyDescent="0.2">
      <c r="A330" s="25">
        <v>6982</v>
      </c>
      <c r="B330" s="26" t="s">
        <v>521</v>
      </c>
      <c r="C330" s="28">
        <v>45912</v>
      </c>
      <c r="D330" s="29" t="s">
        <v>660</v>
      </c>
      <c r="E330" s="26">
        <v>3.99</v>
      </c>
      <c r="F330" s="26" t="s">
        <v>8</v>
      </c>
      <c r="G330" s="26">
        <v>3.99</v>
      </c>
      <c r="H330" s="26" t="s">
        <v>8</v>
      </c>
      <c r="I330" s="26" t="s">
        <v>523</v>
      </c>
      <c r="J330" s="26" t="s">
        <v>524</v>
      </c>
      <c r="K330" s="26">
        <v>523975</v>
      </c>
      <c r="L330" s="26">
        <v>22702</v>
      </c>
      <c r="M330" s="26" t="s">
        <v>525</v>
      </c>
      <c r="N330" s="31">
        <v>0.60410879629629632</v>
      </c>
      <c r="O330" s="26" t="s">
        <v>531</v>
      </c>
      <c r="P330" s="26" t="s">
        <v>526</v>
      </c>
      <c r="Q330" s="26" t="s">
        <v>527</v>
      </c>
      <c r="R330" s="32"/>
      <c r="S330" s="26" t="b">
        <v>0</v>
      </c>
      <c r="T330" s="32"/>
      <c r="U330" s="26" t="b">
        <v>1</v>
      </c>
    </row>
    <row r="331" spans="1:21" ht="16" x14ac:dyDescent="0.2">
      <c r="A331" s="25">
        <v>6982</v>
      </c>
      <c r="B331" s="26" t="s">
        <v>528</v>
      </c>
      <c r="C331" s="28">
        <v>45912</v>
      </c>
      <c r="D331" s="26" t="s">
        <v>683</v>
      </c>
      <c r="E331" s="26">
        <v>38.81</v>
      </c>
      <c r="F331" s="26" t="s">
        <v>8</v>
      </c>
      <c r="G331" s="26">
        <v>38.81</v>
      </c>
      <c r="H331" s="26" t="s">
        <v>8</v>
      </c>
      <c r="I331" s="26" t="s">
        <v>684</v>
      </c>
      <c r="J331" s="26" t="s">
        <v>524</v>
      </c>
      <c r="K331" s="26">
        <v>523975</v>
      </c>
      <c r="L331" s="26">
        <v>56547</v>
      </c>
      <c r="M331" s="26" t="s">
        <v>554</v>
      </c>
      <c r="N331" s="31">
        <v>0.56328703703703698</v>
      </c>
      <c r="O331" s="26" t="s">
        <v>531</v>
      </c>
      <c r="P331" s="26" t="s">
        <v>526</v>
      </c>
      <c r="Q331" s="26" t="s">
        <v>527</v>
      </c>
      <c r="R331" s="32"/>
      <c r="S331" s="26" t="b">
        <v>0</v>
      </c>
      <c r="T331" s="32"/>
      <c r="U331" s="26" t="b">
        <v>1</v>
      </c>
    </row>
    <row r="332" spans="1:21" ht="16" x14ac:dyDescent="0.2">
      <c r="A332" s="25">
        <v>6982</v>
      </c>
      <c r="B332" s="26" t="s">
        <v>528</v>
      </c>
      <c r="C332" s="28">
        <v>45911</v>
      </c>
      <c r="D332" s="26" t="s">
        <v>529</v>
      </c>
      <c r="E332" s="26">
        <v>4.8099999999999996</v>
      </c>
      <c r="F332" s="26" t="s">
        <v>8</v>
      </c>
      <c r="G332" s="26">
        <v>4.8099999999999996</v>
      </c>
      <c r="H332" s="26" t="s">
        <v>8</v>
      </c>
      <c r="I332" s="26" t="s">
        <v>530</v>
      </c>
      <c r="J332" s="26" t="s">
        <v>524</v>
      </c>
      <c r="K332" s="26">
        <v>523915</v>
      </c>
      <c r="L332" s="26">
        <v>14007</v>
      </c>
      <c r="M332" s="26" t="s">
        <v>525</v>
      </c>
      <c r="N332" s="31">
        <v>0.2596296296296296</v>
      </c>
      <c r="O332" s="26" t="s">
        <v>531</v>
      </c>
      <c r="P332" s="26" t="s">
        <v>526</v>
      </c>
      <c r="Q332" s="26" t="s">
        <v>527</v>
      </c>
      <c r="R332" s="32"/>
      <c r="S332" s="26" t="b">
        <v>0</v>
      </c>
      <c r="T332" s="32"/>
      <c r="U332" s="26" t="b">
        <v>1</v>
      </c>
    </row>
    <row r="333" spans="1:21" ht="16" x14ac:dyDescent="0.2">
      <c r="A333" s="25">
        <v>6982</v>
      </c>
      <c r="B333" s="26" t="s">
        <v>521</v>
      </c>
      <c r="C333" s="28">
        <v>45910</v>
      </c>
      <c r="D333" s="29" t="s">
        <v>660</v>
      </c>
      <c r="E333" s="26">
        <v>2.99</v>
      </c>
      <c r="F333" s="26" t="s">
        <v>8</v>
      </c>
      <c r="G333" s="26">
        <v>2.99</v>
      </c>
      <c r="H333" s="26" t="s">
        <v>8</v>
      </c>
      <c r="I333" s="26" t="s">
        <v>523</v>
      </c>
      <c r="J333" s="26" t="s">
        <v>524</v>
      </c>
      <c r="K333" s="26">
        <v>523874</v>
      </c>
      <c r="L333" s="26">
        <v>3212</v>
      </c>
      <c r="M333" s="26" t="s">
        <v>525</v>
      </c>
      <c r="N333" s="31">
        <v>0.1832060185185185</v>
      </c>
      <c r="O333" s="32"/>
      <c r="P333" s="26" t="s">
        <v>526</v>
      </c>
      <c r="Q333" s="26" t="s">
        <v>527</v>
      </c>
      <c r="R333" s="32"/>
      <c r="S333" s="26" t="b">
        <v>0</v>
      </c>
      <c r="T333" s="32"/>
      <c r="U333" s="26" t="b">
        <v>1</v>
      </c>
    </row>
    <row r="334" spans="1:21" ht="16" x14ac:dyDescent="0.2">
      <c r="A334" s="25">
        <v>6982</v>
      </c>
      <c r="B334" s="26" t="s">
        <v>550</v>
      </c>
      <c r="C334" s="28">
        <v>45910</v>
      </c>
      <c r="D334" s="26" t="s">
        <v>685</v>
      </c>
      <c r="E334" s="26">
        <v>9.43</v>
      </c>
      <c r="F334" s="26" t="s">
        <v>8</v>
      </c>
      <c r="G334" s="26">
        <v>10.8</v>
      </c>
      <c r="H334" s="26" t="s">
        <v>534</v>
      </c>
      <c r="I334" s="26" t="s">
        <v>535</v>
      </c>
      <c r="J334" s="26" t="s">
        <v>524</v>
      </c>
      <c r="K334" s="26">
        <v>523898</v>
      </c>
      <c r="L334" s="26">
        <v>69022</v>
      </c>
      <c r="M334" s="26" t="s">
        <v>525</v>
      </c>
      <c r="N334" s="31">
        <v>0.92658564814814814</v>
      </c>
      <c r="O334" s="32"/>
      <c r="P334" s="26" t="s">
        <v>526</v>
      </c>
      <c r="Q334" s="26" t="s">
        <v>527</v>
      </c>
      <c r="R334" s="32"/>
      <c r="S334" s="26" t="b">
        <v>0</v>
      </c>
      <c r="T334" s="32"/>
      <c r="U334" s="26" t="b">
        <v>1</v>
      </c>
    </row>
    <row r="335" spans="1:21" ht="16" x14ac:dyDescent="0.2">
      <c r="A335" s="25">
        <v>6982</v>
      </c>
      <c r="B335" s="26" t="s">
        <v>550</v>
      </c>
      <c r="C335" s="28">
        <v>45910</v>
      </c>
      <c r="D335" s="26" t="s">
        <v>686</v>
      </c>
      <c r="E335" s="26">
        <v>17.46</v>
      </c>
      <c r="F335" s="26" t="s">
        <v>8</v>
      </c>
      <c r="G335" s="26">
        <v>20</v>
      </c>
      <c r="H335" s="26" t="s">
        <v>534</v>
      </c>
      <c r="I335" s="26" t="s">
        <v>535</v>
      </c>
      <c r="J335" s="26" t="s">
        <v>524</v>
      </c>
      <c r="K335" s="26">
        <v>523902</v>
      </c>
      <c r="L335" s="26">
        <v>26052</v>
      </c>
      <c r="M335" s="26" t="s">
        <v>525</v>
      </c>
      <c r="N335" s="31">
        <v>2.8171296296296302E-2</v>
      </c>
      <c r="O335" s="32"/>
      <c r="P335" s="26" t="s">
        <v>526</v>
      </c>
      <c r="Q335" s="26" t="s">
        <v>527</v>
      </c>
      <c r="R335" s="32"/>
      <c r="S335" s="26" t="b">
        <v>0</v>
      </c>
      <c r="T335" s="32"/>
      <c r="U335" s="26" t="b">
        <v>1</v>
      </c>
    </row>
    <row r="336" spans="1:21" ht="16" x14ac:dyDescent="0.2">
      <c r="A336" s="25">
        <v>6982</v>
      </c>
      <c r="B336" s="26" t="s">
        <v>528</v>
      </c>
      <c r="C336" s="28">
        <v>45909</v>
      </c>
      <c r="D336" s="26" t="s">
        <v>529</v>
      </c>
      <c r="E336" s="26">
        <v>5.67</v>
      </c>
      <c r="F336" s="26" t="s">
        <v>8</v>
      </c>
      <c r="G336" s="26">
        <v>5.67</v>
      </c>
      <c r="H336" s="26" t="s">
        <v>8</v>
      </c>
      <c r="I336" s="26" t="s">
        <v>530</v>
      </c>
      <c r="J336" s="26" t="s">
        <v>524</v>
      </c>
      <c r="K336" s="26">
        <v>523828</v>
      </c>
      <c r="L336" s="26">
        <v>15278</v>
      </c>
      <c r="M336" s="26" t="s">
        <v>525</v>
      </c>
      <c r="N336" s="31">
        <v>0.2820023148148148</v>
      </c>
      <c r="O336" s="26" t="s">
        <v>531</v>
      </c>
      <c r="P336" s="26" t="s">
        <v>526</v>
      </c>
      <c r="Q336" s="26" t="s">
        <v>527</v>
      </c>
      <c r="R336" s="32"/>
      <c r="S336" s="26" t="b">
        <v>0</v>
      </c>
      <c r="T336" s="32"/>
      <c r="U336" s="26" t="b">
        <v>1</v>
      </c>
    </row>
    <row r="337" spans="1:21" ht="16" x14ac:dyDescent="0.2">
      <c r="A337" s="25">
        <v>6982</v>
      </c>
      <c r="B337" s="26" t="s">
        <v>521</v>
      </c>
      <c r="C337" s="28">
        <v>45909</v>
      </c>
      <c r="D337" s="29" t="s">
        <v>660</v>
      </c>
      <c r="E337" s="26">
        <v>7.99</v>
      </c>
      <c r="F337" s="26" t="s">
        <v>8</v>
      </c>
      <c r="G337" s="26">
        <v>7.99</v>
      </c>
      <c r="H337" s="26" t="s">
        <v>8</v>
      </c>
      <c r="I337" s="26" t="s">
        <v>523</v>
      </c>
      <c r="J337" s="26" t="s">
        <v>524</v>
      </c>
      <c r="K337" s="26">
        <v>523853</v>
      </c>
      <c r="L337" s="26">
        <v>25655</v>
      </c>
      <c r="M337" s="26" t="s">
        <v>525</v>
      </c>
      <c r="N337" s="31">
        <v>0.78583333333333327</v>
      </c>
      <c r="O337" s="26" t="s">
        <v>531</v>
      </c>
      <c r="P337" s="26" t="s">
        <v>526</v>
      </c>
      <c r="Q337" s="26" t="s">
        <v>527</v>
      </c>
      <c r="R337" s="32"/>
      <c r="S337" s="26" t="b">
        <v>0</v>
      </c>
      <c r="T337" s="32"/>
      <c r="U337" s="26" t="b">
        <v>1</v>
      </c>
    </row>
    <row r="338" spans="1:21" ht="16" x14ac:dyDescent="0.2">
      <c r="A338" s="25">
        <v>6982</v>
      </c>
      <c r="B338" s="26" t="s">
        <v>521</v>
      </c>
      <c r="C338" s="28">
        <v>45909</v>
      </c>
      <c r="D338" s="29" t="s">
        <v>660</v>
      </c>
      <c r="E338" s="26">
        <v>7.99</v>
      </c>
      <c r="F338" s="26" t="s">
        <v>8</v>
      </c>
      <c r="G338" s="26">
        <v>7.99</v>
      </c>
      <c r="H338" s="26" t="s">
        <v>8</v>
      </c>
      <c r="I338" s="26" t="s">
        <v>523</v>
      </c>
      <c r="J338" s="26" t="s">
        <v>524</v>
      </c>
      <c r="K338" s="26">
        <v>523853</v>
      </c>
      <c r="L338" s="26">
        <v>25664</v>
      </c>
      <c r="M338" s="26" t="s">
        <v>525</v>
      </c>
      <c r="N338" s="31">
        <v>0.78645833333333337</v>
      </c>
      <c r="O338" s="26" t="s">
        <v>531</v>
      </c>
      <c r="P338" s="26" t="s">
        <v>526</v>
      </c>
      <c r="Q338" s="26" t="s">
        <v>527</v>
      </c>
      <c r="R338" s="32"/>
      <c r="S338" s="26" t="b">
        <v>0</v>
      </c>
      <c r="T338" s="32"/>
      <c r="U338" s="26" t="b">
        <v>1</v>
      </c>
    </row>
    <row r="339" spans="1:21" ht="16" x14ac:dyDescent="0.2">
      <c r="A339" s="25">
        <v>6982</v>
      </c>
      <c r="B339" s="26" t="s">
        <v>583</v>
      </c>
      <c r="C339" s="28">
        <v>45909</v>
      </c>
      <c r="D339" s="26" t="s">
        <v>687</v>
      </c>
      <c r="E339" s="26">
        <v>11.99</v>
      </c>
      <c r="F339" s="26" t="s">
        <v>8</v>
      </c>
      <c r="G339" s="26">
        <v>11.99</v>
      </c>
      <c r="H339" s="26" t="s">
        <v>8</v>
      </c>
      <c r="I339" s="26" t="s">
        <v>565</v>
      </c>
      <c r="J339" s="26" t="s">
        <v>524</v>
      </c>
      <c r="K339" s="26">
        <v>523853</v>
      </c>
      <c r="L339" s="26">
        <v>50175</v>
      </c>
      <c r="M339" s="26" t="s">
        <v>525</v>
      </c>
      <c r="N339" s="31">
        <v>0.69555555555555559</v>
      </c>
      <c r="O339" s="32"/>
      <c r="P339" s="26" t="s">
        <v>526</v>
      </c>
      <c r="Q339" s="26" t="s">
        <v>527</v>
      </c>
      <c r="R339" s="32"/>
      <c r="S339" s="26" t="b">
        <v>0</v>
      </c>
      <c r="T339" s="32"/>
      <c r="U339" s="26" t="b">
        <v>1</v>
      </c>
    </row>
    <row r="340" spans="1:21" ht="16" x14ac:dyDescent="0.2">
      <c r="A340" s="25">
        <v>6982</v>
      </c>
      <c r="B340" s="26" t="s">
        <v>688</v>
      </c>
      <c r="C340" s="28">
        <v>45909</v>
      </c>
      <c r="D340" s="26" t="s">
        <v>689</v>
      </c>
      <c r="E340" s="26">
        <v>45</v>
      </c>
      <c r="F340" s="26" t="s">
        <v>8</v>
      </c>
      <c r="G340" s="26">
        <v>45</v>
      </c>
      <c r="H340" s="26" t="s">
        <v>8</v>
      </c>
      <c r="I340" s="26" t="s">
        <v>690</v>
      </c>
      <c r="J340" s="26" t="s">
        <v>524</v>
      </c>
      <c r="K340" s="26">
        <v>523860</v>
      </c>
      <c r="L340" s="26">
        <v>48174</v>
      </c>
      <c r="M340" s="26" t="s">
        <v>525</v>
      </c>
      <c r="N340" s="31">
        <v>0.35356481481481478</v>
      </c>
      <c r="O340" s="32"/>
      <c r="P340" s="26" t="s">
        <v>526</v>
      </c>
      <c r="Q340" s="26" t="s">
        <v>527</v>
      </c>
      <c r="R340" s="32"/>
      <c r="S340" s="26" t="b">
        <v>0</v>
      </c>
      <c r="T340" s="32"/>
      <c r="U340" s="26" t="b">
        <v>1</v>
      </c>
    </row>
    <row r="341" spans="1:21" ht="16" x14ac:dyDescent="0.2">
      <c r="A341" s="25">
        <v>6982</v>
      </c>
      <c r="B341" s="26" t="s">
        <v>528</v>
      </c>
      <c r="C341" s="28">
        <v>45908</v>
      </c>
      <c r="D341" s="26" t="s">
        <v>691</v>
      </c>
      <c r="E341" s="26">
        <v>33.049999999999997</v>
      </c>
      <c r="F341" s="26" t="s">
        <v>8</v>
      </c>
      <c r="G341" s="26">
        <v>33.049999999999997</v>
      </c>
      <c r="H341" s="26" t="s">
        <v>8</v>
      </c>
      <c r="I341" s="26" t="s">
        <v>600</v>
      </c>
      <c r="J341" s="26" t="s">
        <v>524</v>
      </c>
      <c r="K341" s="26">
        <v>523797</v>
      </c>
      <c r="L341" s="26">
        <v>9010</v>
      </c>
      <c r="M341" s="26" t="s">
        <v>525</v>
      </c>
      <c r="N341" s="31">
        <v>0.57451388888888888</v>
      </c>
      <c r="O341" s="32"/>
      <c r="P341" s="26" t="s">
        <v>526</v>
      </c>
      <c r="Q341" s="26" t="s">
        <v>527</v>
      </c>
      <c r="R341" s="32"/>
      <c r="S341" s="26" t="b">
        <v>0</v>
      </c>
      <c r="T341" s="32"/>
      <c r="U341" s="26" t="b">
        <v>1</v>
      </c>
    </row>
    <row r="342" spans="1:21" ht="16" x14ac:dyDescent="0.2">
      <c r="A342" s="25">
        <v>6982</v>
      </c>
      <c r="B342" s="26" t="s">
        <v>550</v>
      </c>
      <c r="C342" s="28">
        <v>45907</v>
      </c>
      <c r="D342" s="26" t="s">
        <v>619</v>
      </c>
      <c r="E342" s="26">
        <v>6.76</v>
      </c>
      <c r="F342" s="26" t="s">
        <v>8</v>
      </c>
      <c r="G342" s="26">
        <v>7.71</v>
      </c>
      <c r="H342" s="26" t="s">
        <v>534</v>
      </c>
      <c r="I342" s="26" t="s">
        <v>535</v>
      </c>
      <c r="J342" s="26" t="s">
        <v>524</v>
      </c>
      <c r="K342" s="26">
        <v>523760</v>
      </c>
      <c r="L342" s="26">
        <v>14019</v>
      </c>
      <c r="M342" s="26" t="s">
        <v>525</v>
      </c>
      <c r="N342" s="31">
        <v>0.45612268518518517</v>
      </c>
      <c r="O342" s="32"/>
      <c r="P342" s="26" t="s">
        <v>526</v>
      </c>
      <c r="Q342" s="26" t="s">
        <v>527</v>
      </c>
      <c r="R342" s="32"/>
      <c r="S342" s="26" t="b">
        <v>0</v>
      </c>
      <c r="T342" s="32"/>
      <c r="U342" s="26" t="b">
        <v>1</v>
      </c>
    </row>
    <row r="343" spans="1:21" ht="16" x14ac:dyDescent="0.2">
      <c r="A343" s="25">
        <v>6982</v>
      </c>
      <c r="B343" s="26" t="s">
        <v>521</v>
      </c>
      <c r="C343" s="28">
        <v>45907</v>
      </c>
      <c r="D343" s="29" t="s">
        <v>660</v>
      </c>
      <c r="E343" s="26">
        <v>15.99</v>
      </c>
      <c r="F343" s="26" t="s">
        <v>8</v>
      </c>
      <c r="G343" s="26">
        <v>15.99</v>
      </c>
      <c r="H343" s="26" t="s">
        <v>8</v>
      </c>
      <c r="I343" s="26" t="s">
        <v>523</v>
      </c>
      <c r="J343" s="26" t="s">
        <v>524</v>
      </c>
      <c r="K343" s="26">
        <v>523770</v>
      </c>
      <c r="L343" s="26">
        <v>30631</v>
      </c>
      <c r="M343" s="26" t="s">
        <v>525</v>
      </c>
      <c r="N343" s="31">
        <v>0.66550925925925919</v>
      </c>
      <c r="O343" s="26" t="s">
        <v>531</v>
      </c>
      <c r="P343" s="26" t="s">
        <v>526</v>
      </c>
      <c r="Q343" s="26" t="s">
        <v>527</v>
      </c>
      <c r="R343" s="32"/>
      <c r="S343" s="26" t="b">
        <v>0</v>
      </c>
      <c r="T343" s="32"/>
      <c r="U343" s="26" t="b">
        <v>1</v>
      </c>
    </row>
    <row r="344" spans="1:21" ht="16" x14ac:dyDescent="0.2">
      <c r="A344" s="25">
        <v>6982</v>
      </c>
      <c r="B344" s="26" t="s">
        <v>521</v>
      </c>
      <c r="C344" s="28">
        <v>45907</v>
      </c>
      <c r="D344" s="29" t="s">
        <v>660</v>
      </c>
      <c r="E344" s="26">
        <v>10.99</v>
      </c>
      <c r="F344" s="26" t="s">
        <v>8</v>
      </c>
      <c r="G344" s="26">
        <v>10.99</v>
      </c>
      <c r="H344" s="26" t="s">
        <v>8</v>
      </c>
      <c r="I344" s="26" t="s">
        <v>523</v>
      </c>
      <c r="J344" s="26" t="s">
        <v>524</v>
      </c>
      <c r="K344" s="26">
        <v>523777</v>
      </c>
      <c r="L344" s="26">
        <v>9672</v>
      </c>
      <c r="M344" s="26" t="s">
        <v>525</v>
      </c>
      <c r="N344" s="31">
        <v>7.1296296296296307E-3</v>
      </c>
      <c r="O344" s="26" t="s">
        <v>531</v>
      </c>
      <c r="P344" s="26" t="s">
        <v>526</v>
      </c>
      <c r="Q344" s="26" t="s">
        <v>527</v>
      </c>
      <c r="R344" s="32"/>
      <c r="S344" s="26" t="b">
        <v>0</v>
      </c>
      <c r="T344" s="32"/>
      <c r="U344" s="26" t="b">
        <v>1</v>
      </c>
    </row>
    <row r="345" spans="1:21" ht="16" x14ac:dyDescent="0.2">
      <c r="A345" s="25">
        <v>6982</v>
      </c>
      <c r="B345" s="26" t="s">
        <v>528</v>
      </c>
      <c r="C345" s="28">
        <v>45906</v>
      </c>
      <c r="D345" s="26" t="s">
        <v>529</v>
      </c>
      <c r="E345" s="26">
        <v>8.7799999999999994</v>
      </c>
      <c r="F345" s="26" t="s">
        <v>8</v>
      </c>
      <c r="G345" s="26">
        <v>8.7799999999999994</v>
      </c>
      <c r="H345" s="26" t="s">
        <v>8</v>
      </c>
      <c r="I345" s="26" t="s">
        <v>530</v>
      </c>
      <c r="J345" s="26" t="s">
        <v>524</v>
      </c>
      <c r="K345" s="26">
        <v>523714</v>
      </c>
      <c r="L345" s="26">
        <v>11462</v>
      </c>
      <c r="M345" s="26" t="s">
        <v>525</v>
      </c>
      <c r="N345" s="31">
        <v>0.34075231481481483</v>
      </c>
      <c r="O345" s="26" t="s">
        <v>531</v>
      </c>
      <c r="P345" s="26" t="s">
        <v>526</v>
      </c>
      <c r="Q345" s="26" t="s">
        <v>527</v>
      </c>
      <c r="R345" s="32"/>
      <c r="S345" s="26" t="b">
        <v>0</v>
      </c>
      <c r="T345" s="32"/>
      <c r="U345" s="26" t="b">
        <v>1</v>
      </c>
    </row>
    <row r="346" spans="1:21" ht="16" x14ac:dyDescent="0.2">
      <c r="A346" s="25">
        <v>6982</v>
      </c>
      <c r="B346" s="26" t="s">
        <v>528</v>
      </c>
      <c r="C346" s="28">
        <v>45905</v>
      </c>
      <c r="D346" s="26" t="s">
        <v>529</v>
      </c>
      <c r="E346" s="26">
        <v>3.57</v>
      </c>
      <c r="F346" s="26" t="s">
        <v>8</v>
      </c>
      <c r="G346" s="26">
        <v>3.57</v>
      </c>
      <c r="H346" s="26" t="s">
        <v>8</v>
      </c>
      <c r="I346" s="26" t="s">
        <v>530</v>
      </c>
      <c r="J346" s="26" t="s">
        <v>524</v>
      </c>
      <c r="K346" s="26">
        <v>523675</v>
      </c>
      <c r="L346" s="26">
        <v>14643</v>
      </c>
      <c r="M346" s="26" t="s">
        <v>525</v>
      </c>
      <c r="N346" s="31">
        <v>0.25392361111111111</v>
      </c>
      <c r="O346" s="26" t="s">
        <v>531</v>
      </c>
      <c r="P346" s="26" t="s">
        <v>526</v>
      </c>
      <c r="Q346" s="26" t="s">
        <v>527</v>
      </c>
      <c r="R346" s="32"/>
      <c r="S346" s="26" t="b">
        <v>0</v>
      </c>
      <c r="T346" s="32"/>
      <c r="U346" s="26" t="b">
        <v>1</v>
      </c>
    </row>
    <row r="347" spans="1:21" ht="16" x14ac:dyDescent="0.2">
      <c r="A347" s="25">
        <v>6982</v>
      </c>
      <c r="B347" s="26" t="s">
        <v>521</v>
      </c>
      <c r="C347" s="28">
        <v>45905</v>
      </c>
      <c r="D347" s="29" t="s">
        <v>660</v>
      </c>
      <c r="E347" s="26">
        <v>13.99</v>
      </c>
      <c r="F347" s="26" t="s">
        <v>8</v>
      </c>
      <c r="G347" s="26">
        <v>13.99</v>
      </c>
      <c r="H347" s="26" t="s">
        <v>8</v>
      </c>
      <c r="I347" s="26" t="s">
        <v>523</v>
      </c>
      <c r="J347" s="26" t="s">
        <v>524</v>
      </c>
      <c r="K347" s="26">
        <v>523697</v>
      </c>
      <c r="L347" s="26">
        <v>18840</v>
      </c>
      <c r="M347" s="26" t="s">
        <v>525</v>
      </c>
      <c r="N347" s="31">
        <v>0.53040509259259261</v>
      </c>
      <c r="O347" s="32"/>
      <c r="P347" s="26" t="s">
        <v>526</v>
      </c>
      <c r="Q347" s="26" t="s">
        <v>527</v>
      </c>
      <c r="R347" s="32"/>
      <c r="S347" s="26" t="b">
        <v>0</v>
      </c>
      <c r="T347" s="32"/>
      <c r="U347" s="26" t="b">
        <v>1</v>
      </c>
    </row>
    <row r="348" spans="1:21" ht="16" x14ac:dyDescent="0.2">
      <c r="A348" s="25">
        <v>6982</v>
      </c>
      <c r="B348" s="26" t="s">
        <v>550</v>
      </c>
      <c r="C348" s="28">
        <v>45905</v>
      </c>
      <c r="D348" s="26" t="s">
        <v>555</v>
      </c>
      <c r="E348" s="26">
        <v>16.66</v>
      </c>
      <c r="F348" s="26" t="s">
        <v>8</v>
      </c>
      <c r="G348" s="26">
        <v>19</v>
      </c>
      <c r="H348" s="26" t="s">
        <v>534</v>
      </c>
      <c r="I348" s="26" t="s">
        <v>535</v>
      </c>
      <c r="J348" s="26" t="s">
        <v>524</v>
      </c>
      <c r="K348" s="26">
        <v>523714</v>
      </c>
      <c r="L348" s="26">
        <v>18902</v>
      </c>
      <c r="M348" s="26" t="s">
        <v>525</v>
      </c>
      <c r="N348" s="31">
        <v>0.82820601851851849</v>
      </c>
      <c r="O348" s="32"/>
      <c r="P348" s="26" t="s">
        <v>526</v>
      </c>
      <c r="Q348" s="26" t="s">
        <v>527</v>
      </c>
      <c r="R348" s="32"/>
      <c r="S348" s="26" t="b">
        <v>0</v>
      </c>
      <c r="T348" s="32"/>
      <c r="U348" s="26" t="b">
        <v>1</v>
      </c>
    </row>
    <row r="349" spans="1:21" ht="16" x14ac:dyDescent="0.2">
      <c r="A349" s="25">
        <v>6982</v>
      </c>
      <c r="B349" s="26" t="s">
        <v>550</v>
      </c>
      <c r="C349" s="28">
        <v>45904</v>
      </c>
      <c r="D349" s="26" t="s">
        <v>621</v>
      </c>
      <c r="E349" s="26">
        <v>16.66</v>
      </c>
      <c r="F349" s="26" t="s">
        <v>8</v>
      </c>
      <c r="G349" s="26">
        <v>19</v>
      </c>
      <c r="H349" s="26" t="s">
        <v>534</v>
      </c>
      <c r="I349" s="26" t="s">
        <v>575</v>
      </c>
      <c r="J349" s="26" t="s">
        <v>524</v>
      </c>
      <c r="K349" s="26">
        <v>523675</v>
      </c>
      <c r="L349" s="26">
        <v>18574</v>
      </c>
      <c r="M349" s="26" t="s">
        <v>525</v>
      </c>
      <c r="N349" s="31">
        <v>0.96290509259259249</v>
      </c>
      <c r="O349" s="32"/>
      <c r="P349" s="26" t="s">
        <v>526</v>
      </c>
      <c r="Q349" s="26" t="s">
        <v>527</v>
      </c>
      <c r="R349" s="32"/>
      <c r="S349" s="26" t="b">
        <v>0</v>
      </c>
      <c r="T349" s="32"/>
      <c r="U349" s="26" t="b">
        <v>1</v>
      </c>
    </row>
    <row r="350" spans="1:21" ht="16" x14ac:dyDescent="0.2">
      <c r="A350" s="25">
        <v>6982</v>
      </c>
      <c r="B350" s="26" t="s">
        <v>560</v>
      </c>
      <c r="C350" s="28">
        <v>45903</v>
      </c>
      <c r="D350" s="26" t="s">
        <v>692</v>
      </c>
      <c r="E350" s="26">
        <v>16.690000000000001</v>
      </c>
      <c r="F350" s="26" t="s">
        <v>8</v>
      </c>
      <c r="G350" s="26">
        <v>19</v>
      </c>
      <c r="H350" s="26" t="s">
        <v>534</v>
      </c>
      <c r="I350" s="26" t="s">
        <v>575</v>
      </c>
      <c r="J350" s="26" t="s">
        <v>524</v>
      </c>
      <c r="K350" s="26">
        <v>523616</v>
      </c>
      <c r="L350" s="26">
        <v>60799</v>
      </c>
      <c r="M350" s="26" t="s">
        <v>525</v>
      </c>
      <c r="N350" s="31">
        <v>0.64782407407407405</v>
      </c>
      <c r="O350" s="32"/>
      <c r="P350" s="26" t="s">
        <v>526</v>
      </c>
      <c r="Q350" s="26" t="s">
        <v>527</v>
      </c>
      <c r="R350" s="32"/>
      <c r="S350" s="26" t="b">
        <v>0</v>
      </c>
      <c r="T350" s="32"/>
      <c r="U350" s="26" t="b">
        <v>1</v>
      </c>
    </row>
    <row r="351" spans="1:21" ht="16" x14ac:dyDescent="0.2">
      <c r="A351" s="25">
        <v>6982</v>
      </c>
      <c r="B351" s="26" t="s">
        <v>528</v>
      </c>
      <c r="C351" s="28">
        <v>45903</v>
      </c>
      <c r="D351" s="26" t="s">
        <v>693</v>
      </c>
      <c r="E351" s="26">
        <v>24.99</v>
      </c>
      <c r="F351" s="26" t="s">
        <v>8</v>
      </c>
      <c r="G351" s="26">
        <v>24.99</v>
      </c>
      <c r="H351" s="26" t="s">
        <v>8</v>
      </c>
      <c r="I351" s="26" t="s">
        <v>694</v>
      </c>
      <c r="J351" s="26" t="s">
        <v>524</v>
      </c>
      <c r="K351" s="26">
        <v>523620</v>
      </c>
      <c r="L351" s="26">
        <v>29550</v>
      </c>
      <c r="M351" s="26" t="s">
        <v>554</v>
      </c>
      <c r="N351" s="31">
        <v>0.84930555555555554</v>
      </c>
      <c r="O351" s="26" t="s">
        <v>531</v>
      </c>
      <c r="P351" s="26" t="s">
        <v>526</v>
      </c>
      <c r="Q351" s="26" t="s">
        <v>527</v>
      </c>
      <c r="R351" s="32"/>
      <c r="S351" s="26" t="b">
        <v>0</v>
      </c>
      <c r="T351" s="32"/>
      <c r="U351" s="26" t="b">
        <v>1</v>
      </c>
    </row>
    <row r="352" spans="1:21" ht="16" x14ac:dyDescent="0.2">
      <c r="A352" s="25">
        <v>6982</v>
      </c>
      <c r="B352" s="26" t="s">
        <v>528</v>
      </c>
      <c r="C352" s="28">
        <v>45902</v>
      </c>
      <c r="D352" s="26" t="s">
        <v>529</v>
      </c>
      <c r="E352" s="26">
        <v>0.56999999999999995</v>
      </c>
      <c r="F352" s="26" t="s">
        <v>8</v>
      </c>
      <c r="G352" s="26">
        <v>0.56999999999999995</v>
      </c>
      <c r="H352" s="26" t="s">
        <v>8</v>
      </c>
      <c r="I352" s="26" t="s">
        <v>530</v>
      </c>
      <c r="J352" s="26" t="s">
        <v>524</v>
      </c>
      <c r="K352" s="26">
        <v>523557</v>
      </c>
      <c r="L352" s="26">
        <v>15221</v>
      </c>
      <c r="M352" s="26" t="s">
        <v>525</v>
      </c>
      <c r="N352" s="31">
        <v>0.27811342592592592</v>
      </c>
      <c r="O352" s="26" t="s">
        <v>531</v>
      </c>
      <c r="P352" s="26" t="s">
        <v>526</v>
      </c>
      <c r="Q352" s="26" t="s">
        <v>527</v>
      </c>
      <c r="R352" s="32"/>
      <c r="S352" s="26" t="b">
        <v>0</v>
      </c>
      <c r="T352" s="32"/>
      <c r="U352" s="26" t="b">
        <v>1</v>
      </c>
    </row>
    <row r="353" spans="1:21" ht="16" x14ac:dyDescent="0.2">
      <c r="A353" s="25">
        <v>6982</v>
      </c>
      <c r="B353" s="26" t="s">
        <v>521</v>
      </c>
      <c r="C353" s="28">
        <v>45902</v>
      </c>
      <c r="D353" s="29" t="s">
        <v>660</v>
      </c>
      <c r="E353" s="26">
        <v>12.49</v>
      </c>
      <c r="F353" s="26" t="s">
        <v>8</v>
      </c>
      <c r="G353" s="26">
        <v>12.49</v>
      </c>
      <c r="H353" s="26" t="s">
        <v>8</v>
      </c>
      <c r="I353" s="26" t="s">
        <v>523</v>
      </c>
      <c r="J353" s="26" t="s">
        <v>524</v>
      </c>
      <c r="K353" s="26">
        <v>523574</v>
      </c>
      <c r="L353" s="26">
        <v>18271</v>
      </c>
      <c r="M353" s="26" t="s">
        <v>525</v>
      </c>
      <c r="N353" s="31">
        <v>0.5065277777777778</v>
      </c>
      <c r="O353" s="32"/>
      <c r="P353" s="26" t="s">
        <v>526</v>
      </c>
      <c r="Q353" s="26" t="s">
        <v>527</v>
      </c>
      <c r="R353" s="32"/>
      <c r="S353" s="26" t="b">
        <v>0</v>
      </c>
      <c r="T353" s="32"/>
      <c r="U353" s="26" t="b">
        <v>1</v>
      </c>
    </row>
    <row r="354" spans="1:21" ht="16" x14ac:dyDescent="0.2">
      <c r="A354" s="25">
        <v>6982</v>
      </c>
      <c r="B354" s="26" t="s">
        <v>528</v>
      </c>
      <c r="C354" s="28">
        <v>45902</v>
      </c>
      <c r="D354" s="26" t="s">
        <v>659</v>
      </c>
      <c r="E354" s="26">
        <v>51.06</v>
      </c>
      <c r="F354" s="26" t="s">
        <v>8</v>
      </c>
      <c r="G354" s="26">
        <v>51.06</v>
      </c>
      <c r="H354" s="26" t="s">
        <v>8</v>
      </c>
      <c r="I354" s="26" t="s">
        <v>587</v>
      </c>
      <c r="J354" s="26" t="s">
        <v>524</v>
      </c>
      <c r="K354" s="26">
        <v>523578</v>
      </c>
      <c r="L354" s="26">
        <v>30445</v>
      </c>
      <c r="M354" s="26" t="s">
        <v>554</v>
      </c>
      <c r="N354" s="31">
        <v>0.68040509259259263</v>
      </c>
      <c r="O354" s="26" t="s">
        <v>531</v>
      </c>
      <c r="P354" s="26" t="s">
        <v>526</v>
      </c>
      <c r="Q354" s="26" t="s">
        <v>527</v>
      </c>
      <c r="R354" s="32"/>
      <c r="S354" s="26" t="b">
        <v>0</v>
      </c>
      <c r="T354" s="32"/>
      <c r="U354" s="26" t="b">
        <v>1</v>
      </c>
    </row>
    <row r="355" spans="1:21" ht="16" x14ac:dyDescent="0.2">
      <c r="A355" s="25">
        <v>6982</v>
      </c>
      <c r="B355" s="26" t="s">
        <v>528</v>
      </c>
      <c r="C355" s="28">
        <v>45901</v>
      </c>
      <c r="D355" s="30" t="s">
        <v>562</v>
      </c>
      <c r="E355" s="26">
        <v>19.07</v>
      </c>
      <c r="F355" s="26" t="s">
        <v>8</v>
      </c>
      <c r="G355" s="26">
        <v>21.78</v>
      </c>
      <c r="H355" s="26" t="s">
        <v>534</v>
      </c>
      <c r="I355" s="26" t="s">
        <v>535</v>
      </c>
      <c r="J355" s="26" t="s">
        <v>524</v>
      </c>
      <c r="K355" s="26">
        <v>523514</v>
      </c>
      <c r="L355" s="26">
        <v>15657</v>
      </c>
      <c r="M355" s="26" t="s">
        <v>525</v>
      </c>
      <c r="N355" s="31">
        <v>0.44763888888888892</v>
      </c>
      <c r="O355" s="32"/>
      <c r="P355" s="26" t="s">
        <v>526</v>
      </c>
      <c r="Q355" s="26" t="s">
        <v>527</v>
      </c>
      <c r="R355" s="32"/>
      <c r="S355" s="26" t="b">
        <v>0</v>
      </c>
      <c r="T355" s="32"/>
      <c r="U355" s="26" t="b">
        <v>1</v>
      </c>
    </row>
  </sheetData>
  <hyperlinks>
    <hyperlink ref="D2" r:id="rId1" display="http://apple.com/BILL" xr:uid="{C463BC99-C5AE-AD48-A091-2BD85AA09595}"/>
    <hyperlink ref="D6" r:id="rId2" display="http://apple.com/BILL" xr:uid="{995D33F6-25C2-B349-840E-60EDCCF983D4}"/>
    <hyperlink ref="D7" r:id="rId3" display="http://claritycheck.com/EU" xr:uid="{CA5CAED7-1209-2B46-8BBE-709B6BD26E70}"/>
    <hyperlink ref="D8" r:id="rId4" display="http://claritycheck.com/EU" xr:uid="{E193EBDC-CC51-8642-B155-EA9C105E3A25}"/>
    <hyperlink ref="D11" r:id="rId5" display="http://apple.com/BILL" xr:uid="{5196D55D-0899-354B-94B3-958DFCE15BF0}"/>
    <hyperlink ref="D14" r:id="rId6" display="http://apple.com/BILL" xr:uid="{5E007F49-E5E0-2649-953E-887FAF25EA60}"/>
    <hyperlink ref="D25" r:id="rId7" display="http://apple.com/BILL" xr:uid="{4DF212DD-2BA7-4143-90F3-04907548C3E0}"/>
    <hyperlink ref="D26" r:id="rId8" display="http://apple.com/BILL" xr:uid="{B191AED3-0573-7E42-98CC-BB8C4B97842B}"/>
    <hyperlink ref="D27" r:id="rId9" display="http://apple.com/BILL" xr:uid="{9931F947-41A3-2249-8CF6-F58705C2F2CB}"/>
    <hyperlink ref="D30" r:id="rId10" display="http://digitalocean.com/" xr:uid="{5A12DF54-B05B-7E48-91BF-BB3577199406}"/>
    <hyperlink ref="D40" r:id="rId11" display="http://apple.com/BILL" xr:uid="{6C9187E8-D386-5740-BFF3-C7C818DDDD34}"/>
    <hyperlink ref="D42" r:id="rId12" display="http://apple.com/BILL" xr:uid="{E873A5AE-C6C6-644E-AADB-C7516B67F172}"/>
    <hyperlink ref="D43" r:id="rId13" display="http://apple.com/BILL" xr:uid="{BCA5BA7A-7494-7444-9A83-20FF8B626533}"/>
    <hyperlink ref="D49" r:id="rId14" display="http://apple.com/BILL" xr:uid="{CF879117-E747-5D47-8288-166D635AAFF1}"/>
    <hyperlink ref="D50" r:id="rId15" display="http://apple.com/BILL" xr:uid="{BC0FC7A7-C413-8343-A661-5DC67F51C089}"/>
    <hyperlink ref="D53" r:id="rId16" display="http://apple.com/BILL" xr:uid="{8CFE088A-EB2E-C04E-B3E4-A5CE0AE85BC0}"/>
    <hyperlink ref="D54" r:id="rId17" display="http://raycast.com/" xr:uid="{C13B10ED-1288-7942-B37B-B5EF24CF0B6A}"/>
    <hyperlink ref="D56" r:id="rId18" display="http://apple.com/BILL" xr:uid="{4D296E64-E1C3-E547-9115-766649F48991}"/>
    <hyperlink ref="D58" r:id="rId19" display="http://apple.com/BILL" xr:uid="{DC672D7D-109A-8548-B235-590E19C94952}"/>
    <hyperlink ref="D59" r:id="rId20" display="http://apple.com/BILL" xr:uid="{6CA6B0FB-1405-1346-87D1-7462F7EFB769}"/>
    <hyperlink ref="D63" r:id="rId21" display="http://apple.com/BILL" xr:uid="{F26186D5-9610-074B-90FE-52E67BBA233F}"/>
    <hyperlink ref="D64" r:id="rId22" display="http://apple.com/BILL" xr:uid="{7C2C84DC-F525-BF4E-8FFC-A4A88022B0E8}"/>
    <hyperlink ref="D65" r:id="rId23" display="http://apple.com/BILL" xr:uid="{A63CEE91-2855-CC40-B451-0310771C823C}"/>
    <hyperlink ref="D71" r:id="rId24" display="http://paddle.net/" xr:uid="{01646DA8-1D66-EF43-8C05-C9E531809448}"/>
    <hyperlink ref="D78" r:id="rId25" display="http://apple.com/BILL" xr:uid="{3F1718D2-695C-AB4B-A2D4-F4ED091C1CB4}"/>
    <hyperlink ref="D79" r:id="rId26" display="http://apple.com/BILL" xr:uid="{E64A84FC-B63E-7C4F-B820-0D4E6E6C5D56}"/>
    <hyperlink ref="D80" r:id="rId27" display="http://apple.com/BILL" xr:uid="{B8F9EB1C-125D-FB4A-B51D-815AD7026962}"/>
    <hyperlink ref="D89" r:id="rId28" display="http://apple.com/BILL" xr:uid="{ADBFB331-E36B-204B-8B3F-0C0F6CFE644B}"/>
    <hyperlink ref="D90" r:id="rId29" display="http://apple.com/BILL" xr:uid="{D2BA7903-BD39-4F42-8A31-42DCF3E53552}"/>
    <hyperlink ref="D91" r:id="rId30" display="http://apple.com/BILL" xr:uid="{C55BED56-AE40-E743-B7B8-D9BAB0A5EB17}"/>
    <hyperlink ref="D93" r:id="rId31" display="http://apple.com/BILL" xr:uid="{67EB725F-3DF8-5C49-BD98-E8DFB7B71B13}"/>
    <hyperlink ref="D98" r:id="rId32" display="http://apple.com/BILL" xr:uid="{A2C3B8BF-C9AD-7740-AB2F-422BBD27BD10}"/>
    <hyperlink ref="D108" r:id="rId33" display="http://apple.com/BILL" xr:uid="{EA2C6964-5CF1-4B46-BCD9-6676A1558E75}"/>
    <hyperlink ref="D111" r:id="rId34" display="http://apple.com/BILL" xr:uid="{7DFFD9E0-444D-4440-8105-65172E25BF03}"/>
    <hyperlink ref="D118" r:id="rId35" display="http://digitalocean.com/" xr:uid="{3EA05CBE-BC50-3D4B-9484-21A1C7764535}"/>
    <hyperlink ref="D119" r:id="rId36" display="http://apple.com/BILL" xr:uid="{B1E96338-DF56-FD42-A786-4CC9F0C57F9A}"/>
    <hyperlink ref="D127" r:id="rId37" display="http://apple.com/BILL" xr:uid="{B4545A88-9A9B-F54B-B60F-E30FEA1FBE8E}"/>
    <hyperlink ref="D131" r:id="rId38" display="http://apple.com/BILL" xr:uid="{5FD5F6C5-5687-144A-B824-46FF46AD3613}"/>
    <hyperlink ref="D139" r:id="rId39" display="http://apple.com/BILL" xr:uid="{82F1A9FF-BB23-9645-B82E-81FEBE3E0E65}"/>
    <hyperlink ref="D140" r:id="rId40" display="http://apple.com/BILL" xr:uid="{8C2EA688-72AC-6644-A045-15D371959CE4}"/>
    <hyperlink ref="D147" r:id="rId41" display="http://apple.com/BILL" xr:uid="{A088D09A-BD8F-F441-9E6C-94C1387F2706}"/>
    <hyperlink ref="D148" r:id="rId42" display="http://apple.com/BILL" xr:uid="{4EAC8AB6-55A1-954B-BEE3-3C65C5BC2DE4}"/>
    <hyperlink ref="D149" r:id="rId43" display="http://raycast.com/" xr:uid="{C82A225E-B953-3A45-AD38-5A7724D975CB}"/>
    <hyperlink ref="D150" r:id="rId44" display="http://apple.com/BILL" xr:uid="{C38E6D26-CC1E-B84B-AA31-2E40F9B2A38A}"/>
    <hyperlink ref="D151" r:id="rId45" display="http://apple.com/BILL" xr:uid="{9107C46B-E4FB-5141-B75A-3313B9D33835}"/>
    <hyperlink ref="D154" r:id="rId46" display="http://apple.com/BILL" xr:uid="{A20595C6-9917-FC4D-8015-BA53F75A6E6B}"/>
    <hyperlink ref="D156" r:id="rId47" display="http://apple.com/BILL" xr:uid="{6EEE69A6-26A2-AF4E-8E9D-24BE34C2263B}"/>
    <hyperlink ref="D157" r:id="rId48" display="http://apple.com/BILL" xr:uid="{C5157592-59A4-CD47-853B-E47EC545C028}"/>
    <hyperlink ref="D158" r:id="rId49" display="http://apple.com/BILL" xr:uid="{BFD550F8-020C-0E48-81A8-E9613614CAFE}"/>
    <hyperlink ref="D160" r:id="rId50" display="http://apple.com/BILL" xr:uid="{CEA9669E-B87B-CA4C-8394-051E92443AF3}"/>
    <hyperlink ref="D161" r:id="rId51" display="http://paddle.net/" xr:uid="{155708D5-BA60-8A40-B684-C37924D8F7F8}"/>
    <hyperlink ref="D164" r:id="rId52" display="http://apple.com/BILL" xr:uid="{0EC9A89F-5113-464E-845D-12A58246BBBA}"/>
    <hyperlink ref="D166" r:id="rId53" display="http://apple.com/BILL" xr:uid="{DDFBAF40-A1CA-654C-A942-34FD592DF56A}"/>
    <hyperlink ref="D167" r:id="rId54" display="http://apple.com/BILL" xr:uid="{C77E597F-DBA8-C647-AFA5-FC79B07A2099}"/>
    <hyperlink ref="D168" r:id="rId55" display="http://apple.com/BILL" xr:uid="{4A9EEB76-0EF3-1F48-ADE4-968530CEE1F9}"/>
    <hyperlink ref="D173" r:id="rId56" display="http://apple.com/BILL" xr:uid="{088F2DAA-ED85-A548-AF70-15434CA6CD7B}"/>
    <hyperlink ref="D176" r:id="rId57" display="http://apple.com/BILL" xr:uid="{BA071685-0CAD-E24C-BE58-A024D9CC9B14}"/>
    <hyperlink ref="D178" r:id="rId58" display="http://apple.com/BILL" xr:uid="{1AE0C028-6611-7F4E-B298-BF453A29CBB9}"/>
    <hyperlink ref="D182" r:id="rId59" display="http://apple.com/BILL" xr:uid="{A4AC0DB3-8863-C94A-A191-6349DE525BBD}"/>
    <hyperlink ref="D183" r:id="rId60" display="http://apple.com/BILL" xr:uid="{C4ED6E9B-16F9-244F-8562-AB0D8D9B83DB}"/>
    <hyperlink ref="D184" r:id="rId61" display="http://apple.com/BILL" xr:uid="{A10567D9-59BF-D448-BC00-350F58B2E801}"/>
    <hyperlink ref="D187" r:id="rId62" display="http://apple.com/BILL" xr:uid="{50A266D7-6292-5C46-A829-DC4F1D665759}"/>
    <hyperlink ref="D188" r:id="rId63" display="http://apple.com/BILL" xr:uid="{29B45CA6-F938-8244-84BC-FDBC5D636769}"/>
    <hyperlink ref="D189" r:id="rId64" display="http://apple.com/BILL" xr:uid="{195F7500-A4D7-D44A-943E-1E5569A1A483}"/>
    <hyperlink ref="D193" r:id="rId65" display="http://apple.com/BILL" xr:uid="{4B3E9DFA-AF57-644B-BFBA-C7CD43730F9C}"/>
    <hyperlink ref="D198" r:id="rId66" display="http://digitalocean.com/" xr:uid="{E6917F18-4840-D44A-A44A-BDB9CE48CBD3}"/>
    <hyperlink ref="D204" r:id="rId67" display="http://apple.com/BILL" xr:uid="{0908C566-5877-234B-A76C-25046B35B640}"/>
    <hyperlink ref="D205" r:id="rId68" display="http://apple.com/BILL" xr:uid="{6D352748-E96E-1544-ACCC-8CE293F0987E}"/>
    <hyperlink ref="D214" r:id="rId69" display="http://apple.com/BILL" xr:uid="{421A6976-CAC2-864C-ADCF-9D96FD36703D}"/>
    <hyperlink ref="D220" r:id="rId70" display="http://apple.com/BILL" xr:uid="{BB150A3D-5574-7744-92F9-35CDAD5AABDE}"/>
    <hyperlink ref="D222" r:id="rId71" display="http://apple.com/BILL" xr:uid="{DBE2EBF9-BCE9-EC47-9AED-E501101DD586}"/>
    <hyperlink ref="D224" r:id="rId72" display="http://apple.com/BILL" xr:uid="{11F662CA-CD02-1641-A5A9-206D157D2748}"/>
    <hyperlink ref="D226" r:id="rId73" display="http://apple.com/BILL" xr:uid="{1FE8B716-16A0-584B-B03D-ADE960B7E119}"/>
    <hyperlink ref="D229" r:id="rId74" display="http://apple.com/BILL" xr:uid="{D2741CDA-D493-DA4E-BEEA-6AFDA9282B3B}"/>
    <hyperlink ref="D232" r:id="rId75" display="http://apple.com/BILL" xr:uid="{BD9DD8EB-B5D8-9D4B-B821-E9886AC959FE}"/>
    <hyperlink ref="D233" r:id="rId76" display="http://raycast.com/" xr:uid="{9964806A-3C28-A041-B1DA-0E360516A512}"/>
    <hyperlink ref="D234" r:id="rId77" display="http://apple.com/BILL" xr:uid="{8D85FE49-62A9-2D4F-B8BF-CDE731924EBD}"/>
    <hyperlink ref="D246" r:id="rId78" display="http://paddle.net/" xr:uid="{7D6C3475-465B-0248-8A06-42A31A09C51C}"/>
    <hyperlink ref="D253" r:id="rId79" display="http://apple.com/BILL" xr:uid="{3B60E1BB-5DF2-DE48-B4A9-23446BD78B42}"/>
    <hyperlink ref="D259" r:id="rId80" display="http://apple.com/BILL" xr:uid="{4794D88F-E66A-A642-8DD3-570FCBB68AB9}"/>
    <hyperlink ref="D274" r:id="rId81" display="http://digitalocean.com/" xr:uid="{5DC12B9C-9716-2B48-9ACE-8C2F4060E6EC}"/>
    <hyperlink ref="D294" r:id="rId82" display="http://apple.com/BILL" xr:uid="{43137753-B1AC-D547-A069-AE8A4DBD21CD}"/>
    <hyperlink ref="D298" r:id="rId83" display="http://www.hp.com/" xr:uid="{A3EA7D06-5CED-FA4D-A2F1-1467BD4E443E}"/>
    <hyperlink ref="D313" r:id="rId84" display="http://raycast.com/" xr:uid="{122E82B9-B2D5-D649-B98A-F424E21B5294}"/>
    <hyperlink ref="D324" r:id="rId85" display="http://paddle.net/" xr:uid="{CCED4451-FC89-B645-B5AE-175EA67A92B3}"/>
    <hyperlink ref="D355" r:id="rId86" display="http://digitalocean.com/" xr:uid="{BFB95505-C156-234C-8C5F-2FB8C1D3593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13AF8-8D27-0C41-BF44-43944E6D72BE}">
  <dimension ref="A1:C35"/>
  <sheetViews>
    <sheetView workbookViewId="0">
      <selection activeCell="B35" sqref="B35"/>
    </sheetView>
  </sheetViews>
  <sheetFormatPr baseColWidth="10" defaultRowHeight="13" x14ac:dyDescent="0.15"/>
  <cols>
    <col min="1" max="1" width="41.5" bestFit="1" customWidth="1"/>
    <col min="2" max="2" width="7.5" bestFit="1" customWidth="1"/>
    <col min="3" max="3" width="11.83203125" customWidth="1"/>
  </cols>
  <sheetData>
    <row r="1" spans="1:3" ht="18" x14ac:dyDescent="0.2">
      <c r="A1" s="8" t="s">
        <v>695</v>
      </c>
    </row>
    <row r="2" spans="1:3" x14ac:dyDescent="0.15">
      <c r="A2" s="9" t="s">
        <v>464</v>
      </c>
    </row>
    <row r="4" spans="1:3" x14ac:dyDescent="0.15">
      <c r="A4" s="10" t="s">
        <v>696</v>
      </c>
      <c r="B4" s="11" t="s">
        <v>467</v>
      </c>
      <c r="C4" s="11" t="s">
        <v>468</v>
      </c>
    </row>
    <row r="5" spans="1:3" x14ac:dyDescent="0.15">
      <c r="A5" t="s">
        <v>697</v>
      </c>
      <c r="B5" s="13">
        <v>293.20999999999998</v>
      </c>
      <c r="C5" s="13">
        <f t="shared" ref="C5:C27" si="0">B5*12</f>
        <v>3518.5199999999995</v>
      </c>
    </row>
    <row r="6" spans="1:3" x14ac:dyDescent="0.15">
      <c r="A6" t="s">
        <v>698</v>
      </c>
      <c r="B6" s="13">
        <v>77.22</v>
      </c>
      <c r="C6" s="13">
        <f t="shared" si="0"/>
        <v>926.64</v>
      </c>
    </row>
    <row r="7" spans="1:3" x14ac:dyDescent="0.15">
      <c r="A7" t="s">
        <v>699</v>
      </c>
      <c r="B7" s="13">
        <v>55.99</v>
      </c>
      <c r="C7" s="13">
        <f t="shared" si="0"/>
        <v>671.88</v>
      </c>
    </row>
    <row r="8" spans="1:3" x14ac:dyDescent="0.15">
      <c r="A8" t="s">
        <v>700</v>
      </c>
      <c r="B8" s="13">
        <v>53.91</v>
      </c>
      <c r="C8" s="13">
        <f t="shared" si="0"/>
        <v>646.91999999999996</v>
      </c>
    </row>
    <row r="9" spans="1:3" x14ac:dyDescent="0.15">
      <c r="A9" t="s">
        <v>701</v>
      </c>
      <c r="B9" s="13">
        <v>47.05</v>
      </c>
      <c r="C9" s="13">
        <f t="shared" si="0"/>
        <v>564.59999999999991</v>
      </c>
    </row>
    <row r="10" spans="1:3" x14ac:dyDescent="0.15">
      <c r="A10" t="s">
        <v>702</v>
      </c>
      <c r="B10" s="13">
        <v>28.46</v>
      </c>
      <c r="C10" s="13">
        <f t="shared" si="0"/>
        <v>341.52</v>
      </c>
    </row>
    <row r="11" spans="1:3" x14ac:dyDescent="0.15">
      <c r="A11" t="s">
        <v>703</v>
      </c>
      <c r="B11" s="13">
        <v>26.48</v>
      </c>
      <c r="C11" s="13">
        <f t="shared" si="0"/>
        <v>317.76</v>
      </c>
    </row>
    <row r="12" spans="1:3" x14ac:dyDescent="0.15">
      <c r="A12" t="s">
        <v>704</v>
      </c>
      <c r="B12" s="13">
        <v>24.57</v>
      </c>
      <c r="C12" s="13">
        <f t="shared" si="0"/>
        <v>294.84000000000003</v>
      </c>
    </row>
    <row r="13" spans="1:3" x14ac:dyDescent="0.15">
      <c r="A13" t="s">
        <v>705</v>
      </c>
      <c r="B13" s="13">
        <v>19.100000000000001</v>
      </c>
      <c r="C13" s="13">
        <f t="shared" si="0"/>
        <v>229.20000000000002</v>
      </c>
    </row>
    <row r="14" spans="1:3" x14ac:dyDescent="0.15">
      <c r="A14" t="s">
        <v>706</v>
      </c>
      <c r="B14" s="13">
        <v>17.23</v>
      </c>
      <c r="C14" s="13">
        <f t="shared" si="0"/>
        <v>206.76</v>
      </c>
    </row>
    <row r="15" spans="1:3" x14ac:dyDescent="0.15">
      <c r="A15" t="s">
        <v>707</v>
      </c>
      <c r="B15" s="13">
        <v>16.36</v>
      </c>
      <c r="C15" s="13">
        <f t="shared" si="0"/>
        <v>196.32</v>
      </c>
    </row>
    <row r="16" spans="1:3" x14ac:dyDescent="0.15">
      <c r="A16" t="s">
        <v>708</v>
      </c>
      <c r="B16" s="13">
        <v>13.27</v>
      </c>
      <c r="C16" s="13">
        <f t="shared" si="0"/>
        <v>159.24</v>
      </c>
    </row>
    <row r="17" spans="1:3" x14ac:dyDescent="0.15">
      <c r="A17" t="s">
        <v>709</v>
      </c>
      <c r="B17" s="13">
        <v>13</v>
      </c>
      <c r="C17" s="13">
        <f t="shared" si="0"/>
        <v>156</v>
      </c>
    </row>
    <row r="18" spans="1:3" x14ac:dyDescent="0.15">
      <c r="A18" t="s">
        <v>710</v>
      </c>
      <c r="B18" s="13">
        <v>12.72</v>
      </c>
      <c r="C18" s="13">
        <f t="shared" si="0"/>
        <v>152.64000000000001</v>
      </c>
    </row>
    <row r="19" spans="1:3" x14ac:dyDescent="0.15">
      <c r="A19" t="s">
        <v>711</v>
      </c>
      <c r="B19" s="13">
        <v>10.65</v>
      </c>
      <c r="C19" s="13">
        <f t="shared" si="0"/>
        <v>127.80000000000001</v>
      </c>
    </row>
    <row r="20" spans="1:3" x14ac:dyDescent="0.15">
      <c r="A20" t="s">
        <v>712</v>
      </c>
      <c r="B20" s="13">
        <v>9.59</v>
      </c>
      <c r="C20" s="13">
        <f t="shared" si="0"/>
        <v>115.08</v>
      </c>
    </row>
    <row r="21" spans="1:3" x14ac:dyDescent="0.15">
      <c r="A21" t="s">
        <v>713</v>
      </c>
      <c r="B21" s="13">
        <v>8.8000000000000007</v>
      </c>
      <c r="C21" s="13">
        <f t="shared" si="0"/>
        <v>105.60000000000001</v>
      </c>
    </row>
    <row r="22" spans="1:3" x14ac:dyDescent="0.15">
      <c r="A22" t="s">
        <v>714</v>
      </c>
      <c r="B22" s="13">
        <v>7.43</v>
      </c>
      <c r="C22" s="13">
        <f t="shared" si="0"/>
        <v>89.16</v>
      </c>
    </row>
    <row r="23" spans="1:3" x14ac:dyDescent="0.15">
      <c r="A23" t="s">
        <v>715</v>
      </c>
      <c r="B23" s="13">
        <v>6.99</v>
      </c>
      <c r="C23" s="13">
        <f t="shared" si="0"/>
        <v>83.88</v>
      </c>
    </row>
    <row r="24" spans="1:3" x14ac:dyDescent="0.15">
      <c r="A24" t="s">
        <v>716</v>
      </c>
      <c r="B24" s="13">
        <v>3.99</v>
      </c>
      <c r="C24" s="13">
        <f t="shared" si="0"/>
        <v>47.88</v>
      </c>
    </row>
    <row r="25" spans="1:3" x14ac:dyDescent="0.15">
      <c r="A25" t="s">
        <v>717</v>
      </c>
      <c r="B25" s="13">
        <v>3.99</v>
      </c>
      <c r="C25" s="13">
        <f t="shared" si="0"/>
        <v>47.88</v>
      </c>
    </row>
    <row r="26" spans="1:3" x14ac:dyDescent="0.15">
      <c r="A26" t="s">
        <v>718</v>
      </c>
      <c r="B26" s="13">
        <v>2.11</v>
      </c>
      <c r="C26" s="13">
        <f t="shared" si="0"/>
        <v>25.32</v>
      </c>
    </row>
    <row r="27" spans="1:3" x14ac:dyDescent="0.15">
      <c r="A27" t="s">
        <v>719</v>
      </c>
      <c r="B27" s="13">
        <v>0.84</v>
      </c>
      <c r="C27" s="13">
        <f t="shared" si="0"/>
        <v>10.08</v>
      </c>
    </row>
    <row r="29" spans="1:3" x14ac:dyDescent="0.15">
      <c r="A29" s="10" t="s">
        <v>720</v>
      </c>
      <c r="B29" s="22">
        <f>SUM(B5:B27)</f>
        <v>752.96</v>
      </c>
      <c r="C29" s="22">
        <f>SUM(C5:C27)</f>
        <v>9035.5199999999968</v>
      </c>
    </row>
    <row r="31" spans="1:3" ht="16" x14ac:dyDescent="0.2">
      <c r="A31" s="33" t="s">
        <v>721</v>
      </c>
    </row>
    <row r="32" spans="1:3" x14ac:dyDescent="0.15">
      <c r="A32" s="14" t="s">
        <v>722</v>
      </c>
      <c r="B32" s="34">
        <v>341.1</v>
      </c>
    </row>
    <row r="33" spans="1:2" x14ac:dyDescent="0.15">
      <c r="A33" s="17" t="s">
        <v>723</v>
      </c>
      <c r="B33" s="35">
        <v>111.98</v>
      </c>
    </row>
    <row r="34" spans="1:2" x14ac:dyDescent="0.15">
      <c r="A34" s="16" t="s">
        <v>724</v>
      </c>
      <c r="B34" s="36">
        <v>66.08</v>
      </c>
    </row>
    <row r="35" spans="1:2" x14ac:dyDescent="0.15">
      <c r="A35" s="12" t="s">
        <v>725</v>
      </c>
      <c r="B35" s="37">
        <v>60.73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E1097-5406-484E-A6A5-8088581E2551}">
  <dimension ref="A1:G589"/>
  <sheetViews>
    <sheetView workbookViewId="0"/>
  </sheetViews>
  <sheetFormatPr baseColWidth="10" defaultRowHeight="13" x14ac:dyDescent="0.15"/>
  <sheetData>
    <row r="1" spans="1:7" x14ac:dyDescent="0.15">
      <c r="A1" t="s">
        <v>726</v>
      </c>
      <c r="B1" t="s">
        <v>727</v>
      </c>
      <c r="C1" t="s">
        <v>728</v>
      </c>
      <c r="D1" t="s">
        <v>729</v>
      </c>
      <c r="E1" t="s">
        <v>730</v>
      </c>
      <c r="F1" t="s">
        <v>731</v>
      </c>
      <c r="G1" t="s">
        <v>732</v>
      </c>
    </row>
    <row r="2" spans="1:7" x14ac:dyDescent="0.15">
      <c r="A2" s="27">
        <v>45901</v>
      </c>
      <c r="B2" s="27">
        <v>45901</v>
      </c>
      <c r="C2" t="s">
        <v>733</v>
      </c>
      <c r="D2" t="s">
        <v>734</v>
      </c>
      <c r="E2" t="s">
        <v>735</v>
      </c>
      <c r="F2" t="s">
        <v>736</v>
      </c>
    </row>
    <row r="3" spans="1:7" x14ac:dyDescent="0.15">
      <c r="A3" s="27">
        <v>45901</v>
      </c>
      <c r="B3" s="27">
        <v>45931</v>
      </c>
      <c r="C3" t="s">
        <v>737</v>
      </c>
      <c r="D3" t="s">
        <v>734</v>
      </c>
      <c r="F3" t="s">
        <v>738</v>
      </c>
      <c r="G3" t="s">
        <v>739</v>
      </c>
    </row>
    <row r="4" spans="1:7" x14ac:dyDescent="0.15">
      <c r="A4" s="27">
        <v>45901</v>
      </c>
      <c r="B4" s="27">
        <v>45901</v>
      </c>
      <c r="C4" t="s">
        <v>740</v>
      </c>
      <c r="D4" t="s">
        <v>734</v>
      </c>
      <c r="E4" t="s">
        <v>741</v>
      </c>
      <c r="F4" t="s">
        <v>736</v>
      </c>
    </row>
    <row r="5" spans="1:7" x14ac:dyDescent="0.15">
      <c r="A5" s="27">
        <v>45901</v>
      </c>
      <c r="B5" s="27">
        <v>45901</v>
      </c>
      <c r="C5" t="s">
        <v>894</v>
      </c>
      <c r="D5" t="s">
        <v>735</v>
      </c>
      <c r="E5" t="s">
        <v>734</v>
      </c>
      <c r="F5" t="s">
        <v>815</v>
      </c>
    </row>
    <row r="6" spans="1:7" x14ac:dyDescent="0.15">
      <c r="A6" s="27">
        <v>45901</v>
      </c>
      <c r="B6" s="27">
        <v>45901</v>
      </c>
      <c r="C6" t="s">
        <v>1229</v>
      </c>
      <c r="D6" t="s">
        <v>741</v>
      </c>
      <c r="E6" t="s">
        <v>734</v>
      </c>
      <c r="F6" t="s">
        <v>885</v>
      </c>
    </row>
    <row r="7" spans="1:7" x14ac:dyDescent="0.15">
      <c r="A7" s="27">
        <v>45902</v>
      </c>
      <c r="B7" s="27">
        <v>45902</v>
      </c>
      <c r="C7" t="s">
        <v>895</v>
      </c>
      <c r="D7" t="s">
        <v>735</v>
      </c>
      <c r="F7" t="s">
        <v>849</v>
      </c>
      <c r="G7" t="s">
        <v>850</v>
      </c>
    </row>
    <row r="8" spans="1:7" x14ac:dyDescent="0.15">
      <c r="A8" s="27">
        <v>45903</v>
      </c>
      <c r="B8" s="27">
        <v>45931</v>
      </c>
      <c r="C8" t="s">
        <v>742</v>
      </c>
      <c r="D8" t="s">
        <v>734</v>
      </c>
      <c r="F8" t="s">
        <v>743</v>
      </c>
      <c r="G8" t="s">
        <v>744</v>
      </c>
    </row>
    <row r="9" spans="1:7" x14ac:dyDescent="0.15">
      <c r="A9" s="27">
        <v>45903</v>
      </c>
      <c r="B9" s="27">
        <v>45903</v>
      </c>
      <c r="C9" t="s">
        <v>745</v>
      </c>
      <c r="D9" t="s">
        <v>734</v>
      </c>
      <c r="E9" t="s">
        <v>741</v>
      </c>
      <c r="F9" t="s">
        <v>736</v>
      </c>
    </row>
    <row r="10" spans="1:7" x14ac:dyDescent="0.15">
      <c r="A10" s="27">
        <v>45903</v>
      </c>
      <c r="B10" s="27">
        <v>45903</v>
      </c>
      <c r="C10" t="s">
        <v>746</v>
      </c>
      <c r="D10" t="s">
        <v>734</v>
      </c>
      <c r="F10" t="s">
        <v>747</v>
      </c>
      <c r="G10" t="s">
        <v>748</v>
      </c>
    </row>
    <row r="11" spans="1:7" x14ac:dyDescent="0.15">
      <c r="A11" s="27">
        <v>45903</v>
      </c>
      <c r="B11" s="27">
        <v>45903</v>
      </c>
      <c r="C11" t="s">
        <v>749</v>
      </c>
      <c r="D11" t="s">
        <v>734</v>
      </c>
      <c r="E11" t="s">
        <v>741</v>
      </c>
      <c r="F11" t="s">
        <v>736</v>
      </c>
    </row>
    <row r="12" spans="1:7" x14ac:dyDescent="0.15">
      <c r="A12" s="27">
        <v>45903</v>
      </c>
      <c r="B12" s="27">
        <v>45903</v>
      </c>
      <c r="C12" t="s">
        <v>750</v>
      </c>
      <c r="D12" t="s">
        <v>734</v>
      </c>
      <c r="F12" t="s">
        <v>751</v>
      </c>
      <c r="G12" t="s">
        <v>752</v>
      </c>
    </row>
    <row r="13" spans="1:7" x14ac:dyDescent="0.15">
      <c r="A13" s="27">
        <v>45903</v>
      </c>
      <c r="B13" s="27">
        <v>45903</v>
      </c>
      <c r="C13" t="s">
        <v>753</v>
      </c>
      <c r="D13" t="s">
        <v>734</v>
      </c>
      <c r="E13" t="s">
        <v>741</v>
      </c>
      <c r="F13" t="s">
        <v>736</v>
      </c>
    </row>
    <row r="14" spans="1:7" x14ac:dyDescent="0.15">
      <c r="A14" s="27">
        <v>45903</v>
      </c>
      <c r="B14" s="27">
        <v>45903</v>
      </c>
      <c r="C14" t="s">
        <v>1230</v>
      </c>
      <c r="D14" t="s">
        <v>741</v>
      </c>
      <c r="E14" t="s">
        <v>734</v>
      </c>
      <c r="F14" t="s">
        <v>885</v>
      </c>
    </row>
    <row r="15" spans="1:7" x14ac:dyDescent="0.15">
      <c r="A15" s="27">
        <v>45903</v>
      </c>
      <c r="B15" s="27">
        <v>45903</v>
      </c>
      <c r="C15" t="s">
        <v>1231</v>
      </c>
      <c r="D15" t="s">
        <v>741</v>
      </c>
      <c r="E15" t="s">
        <v>734</v>
      </c>
      <c r="F15" t="s">
        <v>885</v>
      </c>
    </row>
    <row r="16" spans="1:7" x14ac:dyDescent="0.15">
      <c r="A16" s="27">
        <v>45903</v>
      </c>
      <c r="B16" s="27">
        <v>45903</v>
      </c>
      <c r="C16" t="s">
        <v>1232</v>
      </c>
      <c r="D16" t="s">
        <v>741</v>
      </c>
      <c r="E16" t="s">
        <v>734</v>
      </c>
      <c r="F16" t="s">
        <v>885</v>
      </c>
    </row>
    <row r="17" spans="1:7" x14ac:dyDescent="0.15">
      <c r="A17" s="27">
        <v>45904</v>
      </c>
      <c r="B17" s="27">
        <v>45904</v>
      </c>
      <c r="C17" t="s">
        <v>896</v>
      </c>
      <c r="D17" t="s">
        <v>735</v>
      </c>
      <c r="F17" t="s">
        <v>897</v>
      </c>
      <c r="G17" t="s">
        <v>898</v>
      </c>
    </row>
    <row r="18" spans="1:7" x14ac:dyDescent="0.15">
      <c r="A18" s="27">
        <v>45904</v>
      </c>
      <c r="B18" s="27">
        <v>45904</v>
      </c>
      <c r="C18" t="s">
        <v>780</v>
      </c>
      <c r="D18" t="s">
        <v>735</v>
      </c>
      <c r="E18" t="s">
        <v>741</v>
      </c>
      <c r="F18" t="s">
        <v>736</v>
      </c>
    </row>
    <row r="19" spans="1:7" x14ac:dyDescent="0.15">
      <c r="A19" s="27">
        <v>45904</v>
      </c>
      <c r="B19" s="27">
        <v>45904</v>
      </c>
      <c r="C19" t="s">
        <v>899</v>
      </c>
      <c r="D19" t="s">
        <v>735</v>
      </c>
      <c r="F19" t="s">
        <v>900</v>
      </c>
      <c r="G19" t="s">
        <v>901</v>
      </c>
    </row>
    <row r="20" spans="1:7" x14ac:dyDescent="0.15">
      <c r="A20" s="27">
        <v>45904</v>
      </c>
      <c r="B20" s="27">
        <v>45904</v>
      </c>
      <c r="C20" t="s">
        <v>780</v>
      </c>
      <c r="D20" t="s">
        <v>735</v>
      </c>
      <c r="E20" t="s">
        <v>741</v>
      </c>
      <c r="F20" t="s">
        <v>736</v>
      </c>
    </row>
    <row r="21" spans="1:7" x14ac:dyDescent="0.15">
      <c r="A21" s="27">
        <v>45904</v>
      </c>
      <c r="B21" s="27">
        <v>45904</v>
      </c>
      <c r="C21" t="s">
        <v>1233</v>
      </c>
      <c r="D21" t="s">
        <v>741</v>
      </c>
      <c r="E21" t="s">
        <v>735</v>
      </c>
      <c r="F21" t="s">
        <v>736</v>
      </c>
    </row>
    <row r="22" spans="1:7" x14ac:dyDescent="0.15">
      <c r="A22" s="27">
        <v>45904</v>
      </c>
      <c r="B22" s="27">
        <v>45904</v>
      </c>
      <c r="C22" t="s">
        <v>1233</v>
      </c>
      <c r="D22" t="s">
        <v>741</v>
      </c>
      <c r="E22" t="s">
        <v>735</v>
      </c>
      <c r="F22" t="s">
        <v>736</v>
      </c>
    </row>
    <row r="23" spans="1:7" x14ac:dyDescent="0.15">
      <c r="A23" s="27">
        <v>45905</v>
      </c>
      <c r="B23" s="27">
        <v>45905</v>
      </c>
      <c r="C23" t="s">
        <v>902</v>
      </c>
      <c r="D23" t="s">
        <v>735</v>
      </c>
      <c r="F23" t="s">
        <v>903</v>
      </c>
      <c r="G23" t="s">
        <v>904</v>
      </c>
    </row>
    <row r="24" spans="1:7" x14ac:dyDescent="0.15">
      <c r="A24" s="27">
        <v>45905</v>
      </c>
      <c r="B24" s="27">
        <v>45905</v>
      </c>
      <c r="C24" t="s">
        <v>905</v>
      </c>
      <c r="D24" t="s">
        <v>735</v>
      </c>
      <c r="E24" t="s">
        <v>741</v>
      </c>
      <c r="F24" t="s">
        <v>736</v>
      </c>
    </row>
    <row r="25" spans="1:7" x14ac:dyDescent="0.15">
      <c r="A25" s="27">
        <v>45905</v>
      </c>
      <c r="B25" s="27">
        <v>45905</v>
      </c>
      <c r="C25" t="s">
        <v>906</v>
      </c>
      <c r="D25" t="s">
        <v>735</v>
      </c>
      <c r="F25" t="s">
        <v>907</v>
      </c>
      <c r="G25" t="s">
        <v>908</v>
      </c>
    </row>
    <row r="26" spans="1:7" x14ac:dyDescent="0.15">
      <c r="A26" s="27">
        <v>45905</v>
      </c>
      <c r="B26" s="27">
        <v>45905</v>
      </c>
      <c r="C26" t="s">
        <v>909</v>
      </c>
      <c r="D26" t="s">
        <v>735</v>
      </c>
      <c r="E26" t="s">
        <v>741</v>
      </c>
      <c r="F26" t="s">
        <v>736</v>
      </c>
    </row>
    <row r="27" spans="1:7" x14ac:dyDescent="0.15">
      <c r="A27" s="27">
        <v>45905</v>
      </c>
      <c r="B27" s="27">
        <v>45905</v>
      </c>
      <c r="C27" t="s">
        <v>910</v>
      </c>
      <c r="D27" t="s">
        <v>735</v>
      </c>
      <c r="F27" t="s">
        <v>907</v>
      </c>
      <c r="G27" t="s">
        <v>908</v>
      </c>
    </row>
    <row r="28" spans="1:7" x14ac:dyDescent="0.15">
      <c r="A28" s="27">
        <v>45905</v>
      </c>
      <c r="B28" s="27">
        <v>45905</v>
      </c>
      <c r="C28" t="s">
        <v>911</v>
      </c>
      <c r="D28" t="s">
        <v>735</v>
      </c>
      <c r="E28" t="s">
        <v>741</v>
      </c>
      <c r="F28" t="s">
        <v>736</v>
      </c>
    </row>
    <row r="29" spans="1:7" x14ac:dyDescent="0.15">
      <c r="A29" s="27">
        <v>45905</v>
      </c>
      <c r="B29" s="27">
        <v>45905</v>
      </c>
      <c r="C29" t="s">
        <v>1234</v>
      </c>
      <c r="D29" t="s">
        <v>741</v>
      </c>
      <c r="E29" t="s">
        <v>735</v>
      </c>
      <c r="F29" t="s">
        <v>736</v>
      </c>
    </row>
    <row r="30" spans="1:7" x14ac:dyDescent="0.15">
      <c r="A30" s="27">
        <v>45905</v>
      </c>
      <c r="B30" s="27">
        <v>45905</v>
      </c>
      <c r="C30" t="s">
        <v>1235</v>
      </c>
      <c r="D30" t="s">
        <v>741</v>
      </c>
      <c r="E30" t="s">
        <v>735</v>
      </c>
      <c r="F30" t="s">
        <v>736</v>
      </c>
    </row>
    <row r="31" spans="1:7" x14ac:dyDescent="0.15">
      <c r="A31" s="27">
        <v>45905</v>
      </c>
      <c r="B31" s="27">
        <v>45905</v>
      </c>
      <c r="C31" t="s">
        <v>1236</v>
      </c>
      <c r="D31" t="s">
        <v>741</v>
      </c>
      <c r="E31" t="s">
        <v>735</v>
      </c>
      <c r="F31" t="s">
        <v>736</v>
      </c>
    </row>
    <row r="32" spans="1:7" x14ac:dyDescent="0.15">
      <c r="A32" s="27">
        <v>45906</v>
      </c>
      <c r="B32" s="27">
        <v>45906</v>
      </c>
      <c r="C32" t="s">
        <v>892</v>
      </c>
      <c r="D32" t="s">
        <v>735</v>
      </c>
      <c r="E32" t="s">
        <v>765</v>
      </c>
      <c r="F32" t="s">
        <v>912</v>
      </c>
    </row>
    <row r="33" spans="1:7" x14ac:dyDescent="0.15">
      <c r="A33" s="27">
        <v>45906</v>
      </c>
      <c r="B33" s="27">
        <v>45906</v>
      </c>
      <c r="C33" t="s">
        <v>892</v>
      </c>
      <c r="D33" t="s">
        <v>735</v>
      </c>
      <c r="E33" t="s">
        <v>795</v>
      </c>
      <c r="F33" t="s">
        <v>913</v>
      </c>
    </row>
    <row r="34" spans="1:7" x14ac:dyDescent="0.15">
      <c r="A34" s="27">
        <v>45906</v>
      </c>
      <c r="B34" s="27">
        <v>45906</v>
      </c>
      <c r="C34" t="s">
        <v>914</v>
      </c>
      <c r="D34" t="s">
        <v>735</v>
      </c>
      <c r="F34" t="s">
        <v>915</v>
      </c>
      <c r="G34" t="s">
        <v>916</v>
      </c>
    </row>
    <row r="35" spans="1:7" x14ac:dyDescent="0.15">
      <c r="A35" s="27">
        <v>45906</v>
      </c>
      <c r="B35" s="27">
        <v>45906</v>
      </c>
      <c r="C35" t="s">
        <v>780</v>
      </c>
      <c r="D35" t="s">
        <v>735</v>
      </c>
      <c r="E35" t="s">
        <v>741</v>
      </c>
      <c r="F35" t="s">
        <v>736</v>
      </c>
    </row>
    <row r="36" spans="1:7" x14ac:dyDescent="0.15">
      <c r="A36" s="27">
        <v>45906</v>
      </c>
      <c r="B36" s="27">
        <v>45906</v>
      </c>
      <c r="C36" t="s">
        <v>914</v>
      </c>
      <c r="D36" t="s">
        <v>735</v>
      </c>
      <c r="F36" t="s">
        <v>915</v>
      </c>
      <c r="G36" t="s">
        <v>916</v>
      </c>
    </row>
    <row r="37" spans="1:7" x14ac:dyDescent="0.15">
      <c r="A37" s="27">
        <v>45906</v>
      </c>
      <c r="B37" s="27">
        <v>45906</v>
      </c>
      <c r="C37" t="s">
        <v>780</v>
      </c>
      <c r="D37" t="s">
        <v>735</v>
      </c>
      <c r="E37" t="s">
        <v>741</v>
      </c>
      <c r="F37" t="s">
        <v>736</v>
      </c>
    </row>
    <row r="38" spans="1:7" x14ac:dyDescent="0.15">
      <c r="A38" s="27">
        <v>45906</v>
      </c>
      <c r="B38" s="27">
        <v>45906</v>
      </c>
      <c r="C38" t="s">
        <v>914</v>
      </c>
      <c r="D38" t="s">
        <v>735</v>
      </c>
      <c r="F38" t="s">
        <v>915</v>
      </c>
      <c r="G38" t="s">
        <v>916</v>
      </c>
    </row>
    <row r="39" spans="1:7" x14ac:dyDescent="0.15">
      <c r="A39" s="27">
        <v>45906</v>
      </c>
      <c r="B39" s="27">
        <v>45906</v>
      </c>
      <c r="C39" t="s">
        <v>780</v>
      </c>
      <c r="D39" t="s">
        <v>735</v>
      </c>
      <c r="E39" t="s">
        <v>741</v>
      </c>
      <c r="F39" t="s">
        <v>736</v>
      </c>
    </row>
    <row r="40" spans="1:7" x14ac:dyDescent="0.15">
      <c r="A40" s="27">
        <v>45906</v>
      </c>
      <c r="B40" s="27">
        <v>45906</v>
      </c>
      <c r="C40" t="s">
        <v>914</v>
      </c>
      <c r="D40" t="s">
        <v>735</v>
      </c>
      <c r="F40" t="s">
        <v>915</v>
      </c>
      <c r="G40" t="s">
        <v>916</v>
      </c>
    </row>
    <row r="41" spans="1:7" x14ac:dyDescent="0.15">
      <c r="A41" s="27">
        <v>45906</v>
      </c>
      <c r="B41" s="27">
        <v>45906</v>
      </c>
      <c r="C41" t="s">
        <v>780</v>
      </c>
      <c r="D41" t="s">
        <v>735</v>
      </c>
      <c r="E41" t="s">
        <v>741</v>
      </c>
      <c r="F41" t="s">
        <v>736</v>
      </c>
    </row>
    <row r="42" spans="1:7" x14ac:dyDescent="0.15">
      <c r="A42" s="27">
        <v>45906</v>
      </c>
      <c r="B42" s="27">
        <v>45906</v>
      </c>
      <c r="C42" t="s">
        <v>914</v>
      </c>
      <c r="D42" t="s">
        <v>735</v>
      </c>
      <c r="F42" t="s">
        <v>915</v>
      </c>
      <c r="G42" t="s">
        <v>916</v>
      </c>
    </row>
    <row r="43" spans="1:7" x14ac:dyDescent="0.15">
      <c r="A43" s="27">
        <v>45906</v>
      </c>
      <c r="B43" s="27">
        <v>45906</v>
      </c>
      <c r="C43" t="s">
        <v>780</v>
      </c>
      <c r="D43" t="s">
        <v>735</v>
      </c>
      <c r="E43" t="s">
        <v>741</v>
      </c>
      <c r="F43" t="s">
        <v>736</v>
      </c>
    </row>
    <row r="44" spans="1:7" x14ac:dyDescent="0.15">
      <c r="A44" s="27">
        <v>45906</v>
      </c>
      <c r="B44" s="27">
        <v>45906</v>
      </c>
      <c r="C44" t="s">
        <v>914</v>
      </c>
      <c r="D44" t="s">
        <v>735</v>
      </c>
      <c r="F44" t="s">
        <v>915</v>
      </c>
      <c r="G44" t="s">
        <v>916</v>
      </c>
    </row>
    <row r="45" spans="1:7" x14ac:dyDescent="0.15">
      <c r="A45" s="27">
        <v>45906</v>
      </c>
      <c r="B45" s="27">
        <v>45906</v>
      </c>
      <c r="C45" t="s">
        <v>780</v>
      </c>
      <c r="D45" t="s">
        <v>735</v>
      </c>
      <c r="E45" t="s">
        <v>741</v>
      </c>
      <c r="F45" t="s">
        <v>736</v>
      </c>
    </row>
    <row r="46" spans="1:7" x14ac:dyDescent="0.15">
      <c r="A46" s="27">
        <v>45906</v>
      </c>
      <c r="B46" s="27">
        <v>45906</v>
      </c>
      <c r="C46" t="s">
        <v>914</v>
      </c>
      <c r="D46" t="s">
        <v>735</v>
      </c>
      <c r="F46" t="s">
        <v>915</v>
      </c>
      <c r="G46" t="s">
        <v>916</v>
      </c>
    </row>
    <row r="47" spans="1:7" x14ac:dyDescent="0.15">
      <c r="A47" s="27">
        <v>45906</v>
      </c>
      <c r="B47" s="27">
        <v>45906</v>
      </c>
      <c r="C47" t="s">
        <v>780</v>
      </c>
      <c r="D47" t="s">
        <v>735</v>
      </c>
      <c r="E47" t="s">
        <v>741</v>
      </c>
      <c r="F47" t="s">
        <v>736</v>
      </c>
    </row>
    <row r="48" spans="1:7" x14ac:dyDescent="0.15">
      <c r="A48" s="27">
        <v>45906</v>
      </c>
      <c r="B48" s="27">
        <v>45906</v>
      </c>
      <c r="C48" t="s">
        <v>917</v>
      </c>
      <c r="D48" t="s">
        <v>735</v>
      </c>
      <c r="E48" t="s">
        <v>918</v>
      </c>
      <c r="F48" t="s">
        <v>919</v>
      </c>
      <c r="G48" t="s">
        <v>920</v>
      </c>
    </row>
    <row r="49" spans="1:7" x14ac:dyDescent="0.15">
      <c r="A49" s="27">
        <v>45906</v>
      </c>
      <c r="B49" s="27">
        <v>45906</v>
      </c>
      <c r="C49" t="s">
        <v>921</v>
      </c>
      <c r="D49" t="s">
        <v>735</v>
      </c>
      <c r="F49" t="s">
        <v>922</v>
      </c>
      <c r="G49" t="s">
        <v>923</v>
      </c>
    </row>
    <row r="50" spans="1:7" x14ac:dyDescent="0.15">
      <c r="A50" s="27">
        <v>45906</v>
      </c>
      <c r="B50" s="27">
        <v>45906</v>
      </c>
      <c r="C50" t="s">
        <v>780</v>
      </c>
      <c r="D50" t="s">
        <v>735</v>
      </c>
      <c r="E50" t="s">
        <v>741</v>
      </c>
      <c r="F50" t="s">
        <v>736</v>
      </c>
    </row>
    <row r="51" spans="1:7" x14ac:dyDescent="0.15">
      <c r="A51" s="27">
        <v>45906</v>
      </c>
      <c r="B51" s="27">
        <v>45906</v>
      </c>
      <c r="C51" t="s">
        <v>924</v>
      </c>
      <c r="D51" t="s">
        <v>735</v>
      </c>
      <c r="F51" t="s">
        <v>925</v>
      </c>
      <c r="G51" t="s">
        <v>926</v>
      </c>
    </row>
    <row r="52" spans="1:7" x14ac:dyDescent="0.15">
      <c r="A52" s="27">
        <v>45906</v>
      </c>
      <c r="B52" s="27">
        <v>45906</v>
      </c>
      <c r="C52" t="s">
        <v>836</v>
      </c>
      <c r="D52" t="s">
        <v>735</v>
      </c>
      <c r="E52" t="s">
        <v>741</v>
      </c>
      <c r="F52" t="s">
        <v>736</v>
      </c>
    </row>
    <row r="53" spans="1:7" x14ac:dyDescent="0.15">
      <c r="A53" s="27">
        <v>45906</v>
      </c>
      <c r="B53" s="27">
        <v>45906</v>
      </c>
      <c r="C53" t="s">
        <v>927</v>
      </c>
      <c r="D53" t="s">
        <v>735</v>
      </c>
      <c r="F53" t="s">
        <v>925</v>
      </c>
      <c r="G53" t="s">
        <v>926</v>
      </c>
    </row>
    <row r="54" spans="1:7" x14ac:dyDescent="0.15">
      <c r="A54" s="27">
        <v>45906</v>
      </c>
      <c r="B54" s="27">
        <v>45906</v>
      </c>
      <c r="C54" t="s">
        <v>780</v>
      </c>
      <c r="D54" t="s">
        <v>735</v>
      </c>
      <c r="E54" t="s">
        <v>741</v>
      </c>
      <c r="F54" t="s">
        <v>736</v>
      </c>
    </row>
    <row r="55" spans="1:7" x14ac:dyDescent="0.15">
      <c r="A55" s="27">
        <v>45906</v>
      </c>
      <c r="B55" s="27">
        <v>45906</v>
      </c>
      <c r="C55" t="s">
        <v>914</v>
      </c>
      <c r="D55" t="s">
        <v>735</v>
      </c>
      <c r="F55" t="s">
        <v>915</v>
      </c>
      <c r="G55" t="s">
        <v>916</v>
      </c>
    </row>
    <row r="56" spans="1:7" x14ac:dyDescent="0.15">
      <c r="A56" s="27">
        <v>45906</v>
      </c>
      <c r="B56" s="27">
        <v>45906</v>
      </c>
      <c r="C56" t="s">
        <v>780</v>
      </c>
      <c r="D56" t="s">
        <v>735</v>
      </c>
      <c r="E56" t="s">
        <v>741</v>
      </c>
      <c r="F56" t="s">
        <v>736</v>
      </c>
    </row>
    <row r="57" spans="1:7" x14ac:dyDescent="0.15">
      <c r="A57" s="27">
        <v>45906</v>
      </c>
      <c r="B57" s="27">
        <v>45906</v>
      </c>
      <c r="C57" t="s">
        <v>914</v>
      </c>
      <c r="D57" t="s">
        <v>735</v>
      </c>
      <c r="F57" t="s">
        <v>915</v>
      </c>
      <c r="G57" t="s">
        <v>916</v>
      </c>
    </row>
    <row r="58" spans="1:7" x14ac:dyDescent="0.15">
      <c r="A58" s="27">
        <v>45906</v>
      </c>
      <c r="B58" s="27">
        <v>45906</v>
      </c>
      <c r="C58" t="s">
        <v>780</v>
      </c>
      <c r="D58" t="s">
        <v>735</v>
      </c>
      <c r="E58" t="s">
        <v>741</v>
      </c>
      <c r="F58" t="s">
        <v>736</v>
      </c>
    </row>
    <row r="59" spans="1:7" x14ac:dyDescent="0.15">
      <c r="A59" s="27">
        <v>45906</v>
      </c>
      <c r="B59" s="27">
        <v>45906</v>
      </c>
      <c r="C59" t="s">
        <v>1233</v>
      </c>
      <c r="D59" t="s">
        <v>741</v>
      </c>
      <c r="E59" t="s">
        <v>735</v>
      </c>
      <c r="F59" t="s">
        <v>736</v>
      </c>
    </row>
    <row r="60" spans="1:7" x14ac:dyDescent="0.15">
      <c r="A60" s="27">
        <v>45906</v>
      </c>
      <c r="B60" s="27">
        <v>45906</v>
      </c>
      <c r="C60" t="s">
        <v>1233</v>
      </c>
      <c r="D60" t="s">
        <v>741</v>
      </c>
      <c r="E60" t="s">
        <v>735</v>
      </c>
      <c r="F60" t="s">
        <v>736</v>
      </c>
    </row>
    <row r="61" spans="1:7" x14ac:dyDescent="0.15">
      <c r="A61" s="27">
        <v>45906</v>
      </c>
      <c r="B61" s="27">
        <v>45906</v>
      </c>
      <c r="C61" t="s">
        <v>1233</v>
      </c>
      <c r="D61" t="s">
        <v>741</v>
      </c>
      <c r="E61" t="s">
        <v>735</v>
      </c>
      <c r="F61" t="s">
        <v>736</v>
      </c>
    </row>
    <row r="62" spans="1:7" x14ac:dyDescent="0.15">
      <c r="A62" s="27">
        <v>45906</v>
      </c>
      <c r="B62" s="27">
        <v>45906</v>
      </c>
      <c r="C62" t="s">
        <v>1233</v>
      </c>
      <c r="D62" t="s">
        <v>741</v>
      </c>
      <c r="E62" t="s">
        <v>735</v>
      </c>
      <c r="F62" t="s">
        <v>736</v>
      </c>
    </row>
    <row r="63" spans="1:7" x14ac:dyDescent="0.15">
      <c r="A63" s="27">
        <v>45906</v>
      </c>
      <c r="B63" s="27">
        <v>45906</v>
      </c>
      <c r="C63" t="s">
        <v>1233</v>
      </c>
      <c r="D63" t="s">
        <v>741</v>
      </c>
      <c r="E63" t="s">
        <v>735</v>
      </c>
      <c r="F63" t="s">
        <v>736</v>
      </c>
    </row>
    <row r="64" spans="1:7" x14ac:dyDescent="0.15">
      <c r="A64" s="27">
        <v>45906</v>
      </c>
      <c r="B64" s="27">
        <v>45906</v>
      </c>
      <c r="C64" t="s">
        <v>1233</v>
      </c>
      <c r="D64" t="s">
        <v>741</v>
      </c>
      <c r="E64" t="s">
        <v>735</v>
      </c>
      <c r="F64" t="s">
        <v>736</v>
      </c>
    </row>
    <row r="65" spans="1:7" x14ac:dyDescent="0.15">
      <c r="A65" s="27">
        <v>45906</v>
      </c>
      <c r="B65" s="27">
        <v>45906</v>
      </c>
      <c r="C65" t="s">
        <v>1233</v>
      </c>
      <c r="D65" t="s">
        <v>741</v>
      </c>
      <c r="E65" t="s">
        <v>735</v>
      </c>
      <c r="F65" t="s">
        <v>736</v>
      </c>
    </row>
    <row r="66" spans="1:7" x14ac:dyDescent="0.15">
      <c r="A66" s="27">
        <v>45906</v>
      </c>
      <c r="B66" s="27">
        <v>45906</v>
      </c>
      <c r="C66" t="s">
        <v>1233</v>
      </c>
      <c r="D66" t="s">
        <v>741</v>
      </c>
      <c r="E66" t="s">
        <v>735</v>
      </c>
      <c r="F66" t="s">
        <v>736</v>
      </c>
    </row>
    <row r="67" spans="1:7" x14ac:dyDescent="0.15">
      <c r="A67" s="27">
        <v>45906</v>
      </c>
      <c r="B67" s="27">
        <v>45906</v>
      </c>
      <c r="C67" t="s">
        <v>1237</v>
      </c>
      <c r="D67" t="s">
        <v>741</v>
      </c>
      <c r="E67" t="s">
        <v>735</v>
      </c>
      <c r="F67" t="s">
        <v>736</v>
      </c>
    </row>
    <row r="68" spans="1:7" x14ac:dyDescent="0.15">
      <c r="A68" s="27">
        <v>45906</v>
      </c>
      <c r="B68" s="27">
        <v>45906</v>
      </c>
      <c r="C68" t="s">
        <v>1233</v>
      </c>
      <c r="D68" t="s">
        <v>741</v>
      </c>
      <c r="E68" t="s">
        <v>735</v>
      </c>
      <c r="F68" t="s">
        <v>736</v>
      </c>
    </row>
    <row r="69" spans="1:7" x14ac:dyDescent="0.15">
      <c r="A69" s="27">
        <v>45906</v>
      </c>
      <c r="B69" s="27">
        <v>45906</v>
      </c>
      <c r="C69" t="s">
        <v>1233</v>
      </c>
      <c r="D69" t="s">
        <v>741</v>
      </c>
      <c r="E69" t="s">
        <v>735</v>
      </c>
      <c r="F69" t="s">
        <v>736</v>
      </c>
    </row>
    <row r="70" spans="1:7" x14ac:dyDescent="0.15">
      <c r="A70" s="27">
        <v>45906</v>
      </c>
      <c r="B70" s="27">
        <v>45906</v>
      </c>
      <c r="C70" t="s">
        <v>1233</v>
      </c>
      <c r="D70" t="s">
        <v>741</v>
      </c>
      <c r="E70" t="s">
        <v>735</v>
      </c>
      <c r="F70" t="s">
        <v>736</v>
      </c>
    </row>
    <row r="71" spans="1:7" x14ac:dyDescent="0.15">
      <c r="A71" s="27">
        <v>45907</v>
      </c>
      <c r="B71" s="27">
        <v>45907</v>
      </c>
      <c r="C71" t="s">
        <v>928</v>
      </c>
      <c r="D71" t="s">
        <v>735</v>
      </c>
      <c r="E71" t="s">
        <v>929</v>
      </c>
      <c r="F71" t="s">
        <v>930</v>
      </c>
      <c r="G71" t="s">
        <v>931</v>
      </c>
    </row>
    <row r="72" spans="1:7" x14ac:dyDescent="0.15">
      <c r="A72" s="27">
        <v>45907</v>
      </c>
      <c r="B72" s="27">
        <v>45907</v>
      </c>
      <c r="C72" t="s">
        <v>932</v>
      </c>
      <c r="D72" t="s">
        <v>735</v>
      </c>
      <c r="F72" t="s">
        <v>907</v>
      </c>
      <c r="G72" t="s">
        <v>908</v>
      </c>
    </row>
    <row r="73" spans="1:7" x14ac:dyDescent="0.15">
      <c r="A73" s="27">
        <v>45907</v>
      </c>
      <c r="B73" s="27">
        <v>45907</v>
      </c>
      <c r="C73" t="s">
        <v>933</v>
      </c>
      <c r="D73" t="s">
        <v>735</v>
      </c>
      <c r="E73" t="s">
        <v>741</v>
      </c>
      <c r="F73" t="s">
        <v>736</v>
      </c>
    </row>
    <row r="74" spans="1:7" x14ac:dyDescent="0.15">
      <c r="A74" s="27">
        <v>45907</v>
      </c>
      <c r="B74" s="27">
        <v>45907</v>
      </c>
      <c r="C74" t="s">
        <v>934</v>
      </c>
      <c r="D74" t="s">
        <v>735</v>
      </c>
      <c r="F74" t="s">
        <v>935</v>
      </c>
      <c r="G74" t="s">
        <v>936</v>
      </c>
    </row>
    <row r="75" spans="1:7" x14ac:dyDescent="0.15">
      <c r="A75" s="27">
        <v>45907</v>
      </c>
      <c r="B75" s="27">
        <v>45907</v>
      </c>
      <c r="C75" t="s">
        <v>937</v>
      </c>
      <c r="D75" t="s">
        <v>735</v>
      </c>
      <c r="E75" t="s">
        <v>741</v>
      </c>
      <c r="F75" t="s">
        <v>736</v>
      </c>
    </row>
    <row r="76" spans="1:7" x14ac:dyDescent="0.15">
      <c r="A76" s="27">
        <v>45907</v>
      </c>
      <c r="B76" s="27">
        <v>45907</v>
      </c>
      <c r="C76" t="s">
        <v>1238</v>
      </c>
      <c r="D76" t="s">
        <v>741</v>
      </c>
      <c r="E76" t="s">
        <v>735</v>
      </c>
      <c r="F76" t="s">
        <v>736</v>
      </c>
    </row>
    <row r="77" spans="1:7" x14ac:dyDescent="0.15">
      <c r="A77" s="27">
        <v>45907</v>
      </c>
      <c r="B77" s="27">
        <v>45907</v>
      </c>
      <c r="C77" t="s">
        <v>1239</v>
      </c>
      <c r="D77" t="s">
        <v>741</v>
      </c>
      <c r="E77" t="s">
        <v>735</v>
      </c>
      <c r="F77" t="s">
        <v>736</v>
      </c>
    </row>
    <row r="78" spans="1:7" x14ac:dyDescent="0.15">
      <c r="A78" s="27">
        <v>45910</v>
      </c>
      <c r="B78" s="27">
        <v>45901</v>
      </c>
      <c r="C78" t="s">
        <v>1090</v>
      </c>
      <c r="D78" t="s">
        <v>772</v>
      </c>
      <c r="F78" t="s">
        <v>1091</v>
      </c>
      <c r="G78" t="s">
        <v>1092</v>
      </c>
    </row>
    <row r="79" spans="1:7" x14ac:dyDescent="0.15">
      <c r="A79" s="27">
        <v>45915</v>
      </c>
      <c r="B79" s="27">
        <v>45915</v>
      </c>
      <c r="C79" t="s">
        <v>938</v>
      </c>
      <c r="D79" t="s">
        <v>735</v>
      </c>
      <c r="E79" t="s">
        <v>765</v>
      </c>
      <c r="F79" t="s">
        <v>766</v>
      </c>
    </row>
    <row r="80" spans="1:7" x14ac:dyDescent="0.15">
      <c r="A80" s="27">
        <v>45917</v>
      </c>
      <c r="B80" s="27">
        <v>45917</v>
      </c>
      <c r="C80" t="s">
        <v>754</v>
      </c>
      <c r="D80" t="s">
        <v>734</v>
      </c>
      <c r="E80" t="s">
        <v>741</v>
      </c>
      <c r="F80" t="s">
        <v>736</v>
      </c>
    </row>
    <row r="81" spans="1:7" x14ac:dyDescent="0.15">
      <c r="A81" s="27">
        <v>45917</v>
      </c>
      <c r="B81" s="27">
        <v>45931</v>
      </c>
      <c r="C81" t="s">
        <v>755</v>
      </c>
      <c r="D81" t="s">
        <v>734</v>
      </c>
      <c r="F81" t="s">
        <v>756</v>
      </c>
      <c r="G81" t="s">
        <v>757</v>
      </c>
    </row>
    <row r="82" spans="1:7" x14ac:dyDescent="0.15">
      <c r="A82" s="27">
        <v>45917</v>
      </c>
      <c r="B82" s="27">
        <v>45917</v>
      </c>
      <c r="C82" t="s">
        <v>758</v>
      </c>
      <c r="D82" t="s">
        <v>734</v>
      </c>
      <c r="E82" t="s">
        <v>741</v>
      </c>
      <c r="F82" t="s">
        <v>736</v>
      </c>
    </row>
    <row r="83" spans="1:7" x14ac:dyDescent="0.15">
      <c r="A83" s="27">
        <v>45917</v>
      </c>
      <c r="B83" s="27">
        <v>45917</v>
      </c>
      <c r="C83" t="s">
        <v>1240</v>
      </c>
      <c r="D83" t="s">
        <v>741</v>
      </c>
      <c r="E83" t="s">
        <v>734</v>
      </c>
      <c r="F83" t="s">
        <v>815</v>
      </c>
    </row>
    <row r="84" spans="1:7" x14ac:dyDescent="0.15">
      <c r="A84" s="27">
        <v>45917</v>
      </c>
      <c r="B84" s="27">
        <v>45917</v>
      </c>
      <c r="C84" t="s">
        <v>1241</v>
      </c>
      <c r="D84" t="s">
        <v>741</v>
      </c>
      <c r="E84" t="s">
        <v>734</v>
      </c>
      <c r="F84" t="s">
        <v>885</v>
      </c>
    </row>
    <row r="85" spans="1:7" x14ac:dyDescent="0.15">
      <c r="A85" s="27">
        <v>45918</v>
      </c>
      <c r="B85" s="27">
        <v>45931</v>
      </c>
      <c r="C85" t="s">
        <v>759</v>
      </c>
      <c r="D85" t="s">
        <v>734</v>
      </c>
      <c r="F85" t="s">
        <v>760</v>
      </c>
      <c r="G85" t="s">
        <v>761</v>
      </c>
    </row>
    <row r="86" spans="1:7" x14ac:dyDescent="0.15">
      <c r="A86" s="27">
        <v>45918</v>
      </c>
      <c r="B86" s="27">
        <v>45918</v>
      </c>
      <c r="C86" t="s">
        <v>762</v>
      </c>
      <c r="D86" t="s">
        <v>734</v>
      </c>
      <c r="E86" t="s">
        <v>741</v>
      </c>
      <c r="F86" t="s">
        <v>736</v>
      </c>
    </row>
    <row r="87" spans="1:7" x14ac:dyDescent="0.15">
      <c r="A87" s="27">
        <v>45918</v>
      </c>
      <c r="B87" s="27">
        <v>45931</v>
      </c>
      <c r="C87" t="s">
        <v>763</v>
      </c>
      <c r="D87" t="s">
        <v>734</v>
      </c>
      <c r="F87" t="s">
        <v>760</v>
      </c>
      <c r="G87" t="s">
        <v>761</v>
      </c>
    </row>
    <row r="88" spans="1:7" x14ac:dyDescent="0.15">
      <c r="A88" s="27">
        <v>45918</v>
      </c>
      <c r="B88" s="27">
        <v>45918</v>
      </c>
      <c r="C88" t="s">
        <v>762</v>
      </c>
      <c r="D88" t="s">
        <v>734</v>
      </c>
      <c r="E88" t="s">
        <v>741</v>
      </c>
      <c r="F88" t="s">
        <v>736</v>
      </c>
    </row>
    <row r="89" spans="1:7" x14ac:dyDescent="0.15">
      <c r="A89" s="27">
        <v>45918</v>
      </c>
      <c r="B89" s="27">
        <v>45918</v>
      </c>
      <c r="C89" t="s">
        <v>874</v>
      </c>
      <c r="D89" t="s">
        <v>741</v>
      </c>
      <c r="E89" t="s">
        <v>734</v>
      </c>
      <c r="F89" t="s">
        <v>885</v>
      </c>
    </row>
    <row r="90" spans="1:7" x14ac:dyDescent="0.15">
      <c r="A90" s="27">
        <v>45918</v>
      </c>
      <c r="B90" s="27">
        <v>45918</v>
      </c>
      <c r="C90" t="s">
        <v>874</v>
      </c>
      <c r="D90" t="s">
        <v>741</v>
      </c>
      <c r="E90" t="s">
        <v>734</v>
      </c>
      <c r="F90" t="s">
        <v>885</v>
      </c>
    </row>
    <row r="91" spans="1:7" x14ac:dyDescent="0.15">
      <c r="A91" s="27">
        <v>45919</v>
      </c>
      <c r="B91" s="27">
        <v>45931</v>
      </c>
      <c r="C91" t="s">
        <v>1093</v>
      </c>
      <c r="D91" t="s">
        <v>772</v>
      </c>
      <c r="F91" t="s">
        <v>1094</v>
      </c>
      <c r="G91" t="s">
        <v>1095</v>
      </c>
    </row>
    <row r="92" spans="1:7" x14ac:dyDescent="0.15">
      <c r="A92" s="27">
        <v>45919</v>
      </c>
      <c r="B92" s="27">
        <v>45919</v>
      </c>
      <c r="C92" t="s">
        <v>1096</v>
      </c>
      <c r="D92" t="s">
        <v>772</v>
      </c>
      <c r="E92" t="s">
        <v>741</v>
      </c>
      <c r="F92" t="s">
        <v>736</v>
      </c>
    </row>
    <row r="93" spans="1:7" x14ac:dyDescent="0.15">
      <c r="A93" s="27">
        <v>45919</v>
      </c>
      <c r="B93" s="27">
        <v>45931</v>
      </c>
      <c r="C93" t="s">
        <v>1097</v>
      </c>
      <c r="D93" t="s">
        <v>772</v>
      </c>
      <c r="F93" t="s">
        <v>1098</v>
      </c>
      <c r="G93" t="s">
        <v>1099</v>
      </c>
    </row>
    <row r="94" spans="1:7" x14ac:dyDescent="0.15">
      <c r="A94" s="27">
        <v>45919</v>
      </c>
      <c r="B94" s="27">
        <v>45919</v>
      </c>
      <c r="C94" t="s">
        <v>1100</v>
      </c>
      <c r="D94" t="s">
        <v>772</v>
      </c>
      <c r="E94" t="s">
        <v>741</v>
      </c>
      <c r="F94" t="s">
        <v>736</v>
      </c>
    </row>
    <row r="95" spans="1:7" x14ac:dyDescent="0.15">
      <c r="A95" s="27">
        <v>45919</v>
      </c>
      <c r="B95" s="27">
        <v>45919</v>
      </c>
      <c r="C95" t="s">
        <v>1242</v>
      </c>
      <c r="D95" t="s">
        <v>741</v>
      </c>
      <c r="E95" t="s">
        <v>772</v>
      </c>
      <c r="F95" t="s">
        <v>736</v>
      </c>
    </row>
    <row r="96" spans="1:7" x14ac:dyDescent="0.15">
      <c r="A96" s="27">
        <v>45919</v>
      </c>
      <c r="B96" s="27">
        <v>45919</v>
      </c>
      <c r="C96" t="s">
        <v>1243</v>
      </c>
      <c r="D96" t="s">
        <v>741</v>
      </c>
      <c r="E96" t="s">
        <v>772</v>
      </c>
      <c r="F96" t="s">
        <v>736</v>
      </c>
    </row>
    <row r="97" spans="1:7" x14ac:dyDescent="0.15">
      <c r="A97" s="27">
        <v>45920</v>
      </c>
      <c r="B97" s="27">
        <v>45920</v>
      </c>
      <c r="C97" t="s">
        <v>892</v>
      </c>
      <c r="D97" t="s">
        <v>735</v>
      </c>
      <c r="E97" t="s">
        <v>765</v>
      </c>
      <c r="F97" t="s">
        <v>912</v>
      </c>
    </row>
    <row r="98" spans="1:7" x14ac:dyDescent="0.15">
      <c r="A98" s="27">
        <v>45920</v>
      </c>
      <c r="B98" s="27">
        <v>45920</v>
      </c>
      <c r="C98" t="s">
        <v>1101</v>
      </c>
      <c r="D98" t="s">
        <v>772</v>
      </c>
      <c r="E98" t="s">
        <v>929</v>
      </c>
      <c r="F98" t="s">
        <v>1102</v>
      </c>
      <c r="G98" t="s">
        <v>1103</v>
      </c>
    </row>
    <row r="99" spans="1:7" x14ac:dyDescent="0.15">
      <c r="A99" s="27">
        <v>45921</v>
      </c>
      <c r="B99" s="27">
        <v>45921</v>
      </c>
      <c r="C99" t="s">
        <v>939</v>
      </c>
      <c r="D99" t="s">
        <v>735</v>
      </c>
      <c r="E99" t="s">
        <v>772</v>
      </c>
      <c r="F99" t="s">
        <v>736</v>
      </c>
    </row>
    <row r="100" spans="1:7" x14ac:dyDescent="0.15">
      <c r="A100" s="27">
        <v>45921</v>
      </c>
      <c r="B100" s="27">
        <v>45921</v>
      </c>
      <c r="C100" t="s">
        <v>892</v>
      </c>
      <c r="D100" t="s">
        <v>735</v>
      </c>
      <c r="E100" t="s">
        <v>765</v>
      </c>
      <c r="F100" t="s">
        <v>912</v>
      </c>
    </row>
    <row r="101" spans="1:7" x14ac:dyDescent="0.15">
      <c r="A101" s="27">
        <v>45921</v>
      </c>
      <c r="B101" s="27">
        <v>45921</v>
      </c>
      <c r="C101" t="s">
        <v>892</v>
      </c>
      <c r="D101" t="s">
        <v>735</v>
      </c>
      <c r="E101" t="s">
        <v>795</v>
      </c>
      <c r="F101" t="s">
        <v>913</v>
      </c>
    </row>
    <row r="102" spans="1:7" x14ac:dyDescent="0.15">
      <c r="A102" s="27">
        <v>45921</v>
      </c>
      <c r="B102" s="27">
        <v>45921</v>
      </c>
      <c r="C102" t="s">
        <v>892</v>
      </c>
      <c r="D102" t="s">
        <v>735</v>
      </c>
      <c r="E102" t="s">
        <v>795</v>
      </c>
      <c r="F102" t="s">
        <v>913</v>
      </c>
    </row>
    <row r="103" spans="1:7" x14ac:dyDescent="0.15">
      <c r="A103" s="27">
        <v>45921</v>
      </c>
      <c r="B103" s="27">
        <v>45921</v>
      </c>
      <c r="C103" t="s">
        <v>940</v>
      </c>
      <c r="D103" t="s">
        <v>735</v>
      </c>
      <c r="F103" t="s">
        <v>941</v>
      </c>
      <c r="G103" t="s">
        <v>942</v>
      </c>
    </row>
    <row r="104" spans="1:7" x14ac:dyDescent="0.15">
      <c r="A104" s="27">
        <v>45921</v>
      </c>
      <c r="B104" s="27">
        <v>45921</v>
      </c>
      <c r="C104" t="s">
        <v>909</v>
      </c>
      <c r="D104" t="s">
        <v>735</v>
      </c>
      <c r="E104" t="s">
        <v>741</v>
      </c>
      <c r="F104" t="s">
        <v>736</v>
      </c>
    </row>
    <row r="105" spans="1:7" x14ac:dyDescent="0.15">
      <c r="A105" s="27">
        <v>45921</v>
      </c>
      <c r="B105" s="27">
        <v>45921</v>
      </c>
      <c r="C105" t="s">
        <v>1104</v>
      </c>
      <c r="D105" t="s">
        <v>772</v>
      </c>
      <c r="E105" t="s">
        <v>735</v>
      </c>
      <c r="F105" t="s">
        <v>815</v>
      </c>
    </row>
    <row r="106" spans="1:7" x14ac:dyDescent="0.15">
      <c r="A106" s="27">
        <v>45921</v>
      </c>
      <c r="B106" s="27">
        <v>45931</v>
      </c>
      <c r="C106" t="s">
        <v>1105</v>
      </c>
      <c r="D106" t="s">
        <v>772</v>
      </c>
      <c r="F106" t="s">
        <v>960</v>
      </c>
      <c r="G106" t="s">
        <v>1106</v>
      </c>
    </row>
    <row r="107" spans="1:7" x14ac:dyDescent="0.15">
      <c r="A107" s="27">
        <v>45921</v>
      </c>
      <c r="B107" s="27">
        <v>45921</v>
      </c>
      <c r="C107" t="s">
        <v>782</v>
      </c>
      <c r="D107" t="s">
        <v>772</v>
      </c>
      <c r="E107" t="s">
        <v>741</v>
      </c>
      <c r="F107" t="s">
        <v>736</v>
      </c>
    </row>
    <row r="108" spans="1:7" x14ac:dyDescent="0.15">
      <c r="A108" s="27">
        <v>45921</v>
      </c>
      <c r="B108" s="27">
        <v>45921</v>
      </c>
      <c r="C108" t="s">
        <v>1235</v>
      </c>
      <c r="D108" t="s">
        <v>741</v>
      </c>
      <c r="E108" t="s">
        <v>735</v>
      </c>
      <c r="F108" t="s">
        <v>736</v>
      </c>
    </row>
    <row r="109" spans="1:7" x14ac:dyDescent="0.15">
      <c r="A109" s="27">
        <v>45921</v>
      </c>
      <c r="B109" s="27">
        <v>45921</v>
      </c>
      <c r="C109" t="s">
        <v>1244</v>
      </c>
      <c r="D109" t="s">
        <v>741</v>
      </c>
      <c r="E109" t="s">
        <v>772</v>
      </c>
      <c r="F109" t="s">
        <v>736</v>
      </c>
    </row>
    <row r="110" spans="1:7" x14ac:dyDescent="0.15">
      <c r="A110" s="27">
        <v>45922</v>
      </c>
      <c r="B110" s="27">
        <v>45922</v>
      </c>
      <c r="C110" t="s">
        <v>943</v>
      </c>
      <c r="D110" t="s">
        <v>735</v>
      </c>
      <c r="E110" t="s">
        <v>944</v>
      </c>
      <c r="F110" t="s">
        <v>945</v>
      </c>
      <c r="G110" t="s">
        <v>946</v>
      </c>
    </row>
    <row r="111" spans="1:7" x14ac:dyDescent="0.15">
      <c r="A111" s="27">
        <v>45922</v>
      </c>
      <c r="B111" s="27">
        <v>45922</v>
      </c>
      <c r="C111" t="s">
        <v>947</v>
      </c>
      <c r="D111" t="s">
        <v>735</v>
      </c>
      <c r="E111" t="s">
        <v>948</v>
      </c>
      <c r="F111" t="s">
        <v>949</v>
      </c>
      <c r="G111" t="s">
        <v>950</v>
      </c>
    </row>
    <row r="112" spans="1:7" x14ac:dyDescent="0.15">
      <c r="A112" s="27">
        <v>45922</v>
      </c>
      <c r="B112" s="27">
        <v>45922</v>
      </c>
      <c r="C112" t="s">
        <v>894</v>
      </c>
      <c r="D112" t="s">
        <v>772</v>
      </c>
      <c r="E112" t="s">
        <v>817</v>
      </c>
      <c r="F112" t="s">
        <v>815</v>
      </c>
    </row>
    <row r="113" spans="1:7" x14ac:dyDescent="0.15">
      <c r="A113" s="27">
        <v>45922</v>
      </c>
      <c r="B113" s="27">
        <v>45922</v>
      </c>
      <c r="C113" t="s">
        <v>1245</v>
      </c>
      <c r="D113" t="s">
        <v>741</v>
      </c>
      <c r="E113" t="s">
        <v>817</v>
      </c>
      <c r="F113" t="s">
        <v>885</v>
      </c>
    </row>
    <row r="114" spans="1:7" x14ac:dyDescent="0.15">
      <c r="A114" s="27">
        <v>45923</v>
      </c>
      <c r="B114" s="27">
        <v>45923</v>
      </c>
      <c r="C114" t="s">
        <v>951</v>
      </c>
      <c r="D114" t="s">
        <v>735</v>
      </c>
      <c r="E114" t="s">
        <v>952</v>
      </c>
      <c r="F114" t="s">
        <v>953</v>
      </c>
      <c r="G114" t="s">
        <v>954</v>
      </c>
    </row>
    <row r="115" spans="1:7" x14ac:dyDescent="0.15">
      <c r="A115" s="27">
        <v>45923</v>
      </c>
      <c r="B115" s="27">
        <v>45923</v>
      </c>
      <c r="C115" t="s">
        <v>955</v>
      </c>
      <c r="D115" t="s">
        <v>735</v>
      </c>
      <c r="F115" t="s">
        <v>903</v>
      </c>
      <c r="G115" t="s">
        <v>904</v>
      </c>
    </row>
    <row r="116" spans="1:7" x14ac:dyDescent="0.15">
      <c r="A116" s="27">
        <v>45923</v>
      </c>
      <c r="B116" s="27">
        <v>45923</v>
      </c>
      <c r="C116" t="s">
        <v>782</v>
      </c>
      <c r="D116" t="s">
        <v>735</v>
      </c>
      <c r="E116" t="s">
        <v>741</v>
      </c>
      <c r="F116" t="s">
        <v>736</v>
      </c>
    </row>
    <row r="117" spans="1:7" x14ac:dyDescent="0.15">
      <c r="A117" s="27">
        <v>45923</v>
      </c>
      <c r="B117" s="27">
        <v>45923</v>
      </c>
      <c r="C117" t="s">
        <v>956</v>
      </c>
      <c r="D117" t="s">
        <v>735</v>
      </c>
      <c r="F117" t="s">
        <v>900</v>
      </c>
      <c r="G117" t="s">
        <v>901</v>
      </c>
    </row>
    <row r="118" spans="1:7" x14ac:dyDescent="0.15">
      <c r="A118" s="27">
        <v>45923</v>
      </c>
      <c r="B118" s="27">
        <v>45923</v>
      </c>
      <c r="C118" t="s">
        <v>957</v>
      </c>
      <c r="D118" t="s">
        <v>735</v>
      </c>
      <c r="E118" t="s">
        <v>741</v>
      </c>
      <c r="F118" t="s">
        <v>736</v>
      </c>
    </row>
    <row r="119" spans="1:7" x14ac:dyDescent="0.15">
      <c r="A119" s="27">
        <v>45923</v>
      </c>
      <c r="B119" s="27">
        <v>45923</v>
      </c>
      <c r="C119" t="s">
        <v>1244</v>
      </c>
      <c r="D119" t="s">
        <v>741</v>
      </c>
      <c r="E119" t="s">
        <v>735</v>
      </c>
      <c r="F119" t="s">
        <v>736</v>
      </c>
    </row>
    <row r="120" spans="1:7" x14ac:dyDescent="0.15">
      <c r="A120" s="27">
        <v>45923</v>
      </c>
      <c r="B120" s="27">
        <v>45923</v>
      </c>
      <c r="C120" t="s">
        <v>1246</v>
      </c>
      <c r="D120" t="s">
        <v>741</v>
      </c>
      <c r="E120" t="s">
        <v>735</v>
      </c>
      <c r="F120" t="s">
        <v>736</v>
      </c>
    </row>
    <row r="121" spans="1:7" x14ac:dyDescent="0.15">
      <c r="A121" s="27">
        <v>45924</v>
      </c>
      <c r="B121" s="27">
        <v>45924</v>
      </c>
      <c r="C121" t="s">
        <v>764</v>
      </c>
      <c r="D121" t="s">
        <v>734</v>
      </c>
      <c r="E121" t="s">
        <v>765</v>
      </c>
      <c r="F121" t="s">
        <v>766</v>
      </c>
    </row>
    <row r="122" spans="1:7" x14ac:dyDescent="0.15">
      <c r="A122" s="27">
        <v>45924</v>
      </c>
      <c r="B122" s="27">
        <v>45924</v>
      </c>
      <c r="C122" t="s">
        <v>797</v>
      </c>
      <c r="D122" t="s">
        <v>735</v>
      </c>
      <c r="E122" t="s">
        <v>798</v>
      </c>
      <c r="F122" t="s">
        <v>799</v>
      </c>
      <c r="G122" t="s">
        <v>958</v>
      </c>
    </row>
    <row r="123" spans="1:7" x14ac:dyDescent="0.15">
      <c r="A123" s="27">
        <v>45924</v>
      </c>
      <c r="B123" s="27">
        <v>45924</v>
      </c>
      <c r="C123" t="s">
        <v>762</v>
      </c>
      <c r="D123" t="s">
        <v>735</v>
      </c>
      <c r="E123" t="s">
        <v>741</v>
      </c>
      <c r="F123" t="s">
        <v>736</v>
      </c>
    </row>
    <row r="124" spans="1:7" x14ac:dyDescent="0.15">
      <c r="A124" s="27">
        <v>45924</v>
      </c>
      <c r="B124" s="27">
        <v>45924</v>
      </c>
      <c r="C124" t="s">
        <v>959</v>
      </c>
      <c r="D124" t="s">
        <v>735</v>
      </c>
      <c r="E124" t="s">
        <v>918</v>
      </c>
      <c r="F124" t="s">
        <v>960</v>
      </c>
      <c r="G124" t="s">
        <v>961</v>
      </c>
    </row>
    <row r="125" spans="1:7" x14ac:dyDescent="0.15">
      <c r="A125" s="27">
        <v>45924</v>
      </c>
      <c r="B125" s="27">
        <v>45924</v>
      </c>
      <c r="C125" t="s">
        <v>874</v>
      </c>
      <c r="D125" t="s">
        <v>741</v>
      </c>
      <c r="E125" t="s">
        <v>735</v>
      </c>
      <c r="F125" t="s">
        <v>736</v>
      </c>
    </row>
    <row r="126" spans="1:7" x14ac:dyDescent="0.15">
      <c r="A126" s="27">
        <v>45925</v>
      </c>
      <c r="B126" s="27">
        <v>45931</v>
      </c>
      <c r="C126" t="s">
        <v>767</v>
      </c>
      <c r="D126" t="s">
        <v>734</v>
      </c>
      <c r="F126" t="s">
        <v>768</v>
      </c>
      <c r="G126" t="s">
        <v>769</v>
      </c>
    </row>
    <row r="127" spans="1:7" x14ac:dyDescent="0.15">
      <c r="A127" s="27">
        <v>45925</v>
      </c>
      <c r="B127" s="27">
        <v>45925</v>
      </c>
      <c r="C127" t="s">
        <v>770</v>
      </c>
      <c r="D127" t="s">
        <v>734</v>
      </c>
      <c r="E127" t="s">
        <v>741</v>
      </c>
      <c r="F127" t="s">
        <v>736</v>
      </c>
    </row>
    <row r="128" spans="1:7" x14ac:dyDescent="0.15">
      <c r="A128" s="27">
        <v>45925</v>
      </c>
      <c r="B128" s="27">
        <v>45925</v>
      </c>
      <c r="C128" t="s">
        <v>1247</v>
      </c>
      <c r="D128" t="s">
        <v>741</v>
      </c>
      <c r="E128" t="s">
        <v>734</v>
      </c>
      <c r="F128" t="s">
        <v>885</v>
      </c>
    </row>
    <row r="129" spans="1:7" x14ac:dyDescent="0.15">
      <c r="A129" s="27">
        <v>45927</v>
      </c>
      <c r="B129" s="27">
        <v>45927</v>
      </c>
      <c r="C129" t="s">
        <v>771</v>
      </c>
      <c r="D129" t="s">
        <v>734</v>
      </c>
      <c r="E129" t="s">
        <v>772</v>
      </c>
      <c r="F129" t="s">
        <v>736</v>
      </c>
    </row>
    <row r="130" spans="1:7" x14ac:dyDescent="0.15">
      <c r="A130" s="27">
        <v>45927</v>
      </c>
      <c r="B130" s="27">
        <v>45927</v>
      </c>
      <c r="C130" t="s">
        <v>773</v>
      </c>
      <c r="D130" t="s">
        <v>734</v>
      </c>
      <c r="F130" t="s">
        <v>774</v>
      </c>
      <c r="G130" t="s">
        <v>775</v>
      </c>
    </row>
    <row r="131" spans="1:7" x14ac:dyDescent="0.15">
      <c r="A131" s="27">
        <v>45927</v>
      </c>
      <c r="B131" s="27">
        <v>45927</v>
      </c>
      <c r="C131" t="s">
        <v>762</v>
      </c>
      <c r="D131" t="s">
        <v>734</v>
      </c>
      <c r="E131" t="s">
        <v>741</v>
      </c>
      <c r="F131" t="s">
        <v>736</v>
      </c>
    </row>
    <row r="132" spans="1:7" x14ac:dyDescent="0.15">
      <c r="A132" s="27">
        <v>45927</v>
      </c>
      <c r="B132" s="27">
        <v>45927</v>
      </c>
      <c r="C132" t="s">
        <v>892</v>
      </c>
      <c r="D132" t="s">
        <v>735</v>
      </c>
      <c r="E132" t="s">
        <v>765</v>
      </c>
      <c r="F132" t="s">
        <v>912</v>
      </c>
    </row>
    <row r="133" spans="1:7" x14ac:dyDescent="0.15">
      <c r="A133" s="27">
        <v>45927</v>
      </c>
      <c r="B133" s="27">
        <v>45927</v>
      </c>
      <c r="C133" t="s">
        <v>892</v>
      </c>
      <c r="D133" t="s">
        <v>735</v>
      </c>
      <c r="E133" t="s">
        <v>795</v>
      </c>
      <c r="F133" t="s">
        <v>913</v>
      </c>
    </row>
    <row r="134" spans="1:7" x14ac:dyDescent="0.15">
      <c r="A134" s="27">
        <v>45927</v>
      </c>
      <c r="B134" s="27">
        <v>45927</v>
      </c>
      <c r="C134" t="s">
        <v>962</v>
      </c>
      <c r="D134" t="s">
        <v>735</v>
      </c>
      <c r="F134" t="s">
        <v>963</v>
      </c>
      <c r="G134" t="s">
        <v>964</v>
      </c>
    </row>
    <row r="135" spans="1:7" x14ac:dyDescent="0.15">
      <c r="A135" s="27">
        <v>45927</v>
      </c>
      <c r="B135" s="27">
        <v>45927</v>
      </c>
      <c r="C135" t="s">
        <v>965</v>
      </c>
      <c r="D135" t="s">
        <v>735</v>
      </c>
      <c r="F135" t="s">
        <v>963</v>
      </c>
      <c r="G135" t="s">
        <v>964</v>
      </c>
    </row>
    <row r="136" spans="1:7" x14ac:dyDescent="0.15">
      <c r="A136" s="27">
        <v>45927</v>
      </c>
      <c r="B136" s="27">
        <v>45927</v>
      </c>
      <c r="C136" t="s">
        <v>1107</v>
      </c>
      <c r="D136" t="s">
        <v>772</v>
      </c>
      <c r="E136" t="s">
        <v>734</v>
      </c>
      <c r="F136" t="s">
        <v>815</v>
      </c>
    </row>
    <row r="137" spans="1:7" x14ac:dyDescent="0.15">
      <c r="A137" s="27">
        <v>45927</v>
      </c>
      <c r="B137" s="27">
        <v>45927</v>
      </c>
      <c r="C137" t="s">
        <v>874</v>
      </c>
      <c r="D137" t="s">
        <v>741</v>
      </c>
      <c r="E137" t="s">
        <v>734</v>
      </c>
      <c r="F137" t="s">
        <v>885</v>
      </c>
    </row>
    <row r="138" spans="1:7" x14ac:dyDescent="0.15">
      <c r="A138" s="27">
        <v>45928</v>
      </c>
      <c r="B138" s="27">
        <v>45928</v>
      </c>
      <c r="C138" t="s">
        <v>833</v>
      </c>
      <c r="D138" t="s">
        <v>735</v>
      </c>
      <c r="F138" t="s">
        <v>966</v>
      </c>
      <c r="G138" t="s">
        <v>967</v>
      </c>
    </row>
    <row r="139" spans="1:7" x14ac:dyDescent="0.15">
      <c r="A139" s="27">
        <v>45933</v>
      </c>
      <c r="B139" s="27">
        <v>45962</v>
      </c>
      <c r="C139" t="s">
        <v>776</v>
      </c>
      <c r="D139" t="s">
        <v>734</v>
      </c>
      <c r="F139" t="s">
        <v>743</v>
      </c>
      <c r="G139" t="s">
        <v>777</v>
      </c>
    </row>
    <row r="140" spans="1:7" x14ac:dyDescent="0.15">
      <c r="A140" s="27">
        <v>45933</v>
      </c>
      <c r="B140" s="27">
        <v>45933</v>
      </c>
      <c r="C140" t="s">
        <v>778</v>
      </c>
      <c r="D140" t="s">
        <v>734</v>
      </c>
      <c r="E140" t="s">
        <v>741</v>
      </c>
      <c r="F140" t="s">
        <v>736</v>
      </c>
    </row>
    <row r="141" spans="1:7" x14ac:dyDescent="0.15">
      <c r="A141" s="27">
        <v>45933</v>
      </c>
      <c r="B141" s="27">
        <v>45933</v>
      </c>
      <c r="C141" t="s">
        <v>1248</v>
      </c>
      <c r="D141" t="s">
        <v>741</v>
      </c>
      <c r="E141" t="s">
        <v>734</v>
      </c>
      <c r="F141" t="s">
        <v>885</v>
      </c>
    </row>
    <row r="142" spans="1:7" x14ac:dyDescent="0.15">
      <c r="A142" s="27">
        <v>45934</v>
      </c>
      <c r="B142" s="27">
        <v>45934</v>
      </c>
      <c r="C142" t="s">
        <v>779</v>
      </c>
      <c r="D142" t="s">
        <v>734</v>
      </c>
      <c r="F142" t="s">
        <v>774</v>
      </c>
      <c r="G142" t="s">
        <v>775</v>
      </c>
    </row>
    <row r="143" spans="1:7" x14ac:dyDescent="0.15">
      <c r="A143" s="27">
        <v>45934</v>
      </c>
      <c r="B143" s="27">
        <v>45934</v>
      </c>
      <c r="C143" t="s">
        <v>780</v>
      </c>
      <c r="D143" t="s">
        <v>734</v>
      </c>
      <c r="E143" t="s">
        <v>741</v>
      </c>
      <c r="F143" t="s">
        <v>736</v>
      </c>
    </row>
    <row r="144" spans="1:7" x14ac:dyDescent="0.15">
      <c r="A144" s="27">
        <v>45934</v>
      </c>
      <c r="B144" s="27">
        <v>45934</v>
      </c>
      <c r="C144" t="s">
        <v>781</v>
      </c>
      <c r="D144" t="s">
        <v>734</v>
      </c>
      <c r="F144" t="s">
        <v>774</v>
      </c>
      <c r="G144" t="s">
        <v>775</v>
      </c>
    </row>
    <row r="145" spans="1:7" x14ac:dyDescent="0.15">
      <c r="A145" s="27">
        <v>45934</v>
      </c>
      <c r="B145" s="27">
        <v>45934</v>
      </c>
      <c r="C145" t="s">
        <v>782</v>
      </c>
      <c r="D145" t="s">
        <v>734</v>
      </c>
      <c r="E145" t="s">
        <v>741</v>
      </c>
      <c r="F145" t="s">
        <v>736</v>
      </c>
    </row>
    <row r="146" spans="1:7" x14ac:dyDescent="0.15">
      <c r="A146" s="27">
        <v>45934</v>
      </c>
      <c r="B146" s="27">
        <v>45962</v>
      </c>
      <c r="C146" t="s">
        <v>783</v>
      </c>
      <c r="D146" t="s">
        <v>734</v>
      </c>
      <c r="F146" t="s">
        <v>784</v>
      </c>
      <c r="G146" t="s">
        <v>785</v>
      </c>
    </row>
    <row r="147" spans="1:7" x14ac:dyDescent="0.15">
      <c r="A147" s="27">
        <v>45934</v>
      </c>
      <c r="B147" s="27">
        <v>45934</v>
      </c>
      <c r="C147" t="s">
        <v>786</v>
      </c>
      <c r="D147" t="s">
        <v>734</v>
      </c>
      <c r="E147" t="s">
        <v>741</v>
      </c>
      <c r="F147" t="s">
        <v>736</v>
      </c>
    </row>
    <row r="148" spans="1:7" x14ac:dyDescent="0.15">
      <c r="A148" s="27">
        <v>45934</v>
      </c>
      <c r="B148" s="27">
        <v>45934</v>
      </c>
      <c r="C148" t="s">
        <v>892</v>
      </c>
      <c r="D148" t="s">
        <v>735</v>
      </c>
      <c r="E148" t="s">
        <v>765</v>
      </c>
      <c r="F148" t="s">
        <v>912</v>
      </c>
    </row>
    <row r="149" spans="1:7" x14ac:dyDescent="0.15">
      <c r="A149" s="27">
        <v>45934</v>
      </c>
      <c r="B149" s="27">
        <v>45934</v>
      </c>
      <c r="C149" t="s">
        <v>892</v>
      </c>
      <c r="D149" t="s">
        <v>735</v>
      </c>
      <c r="E149" t="s">
        <v>795</v>
      </c>
      <c r="F149" t="s">
        <v>913</v>
      </c>
    </row>
    <row r="150" spans="1:7" x14ac:dyDescent="0.15">
      <c r="A150" s="27">
        <v>45934</v>
      </c>
      <c r="B150" s="27">
        <v>45934</v>
      </c>
      <c r="C150" t="s">
        <v>1108</v>
      </c>
      <c r="D150" t="s">
        <v>772</v>
      </c>
      <c r="F150" t="s">
        <v>963</v>
      </c>
      <c r="G150" t="s">
        <v>964</v>
      </c>
    </row>
    <row r="151" spans="1:7" x14ac:dyDescent="0.15">
      <c r="A151" s="27">
        <v>45934</v>
      </c>
      <c r="B151" s="27">
        <v>45934</v>
      </c>
      <c r="C151" t="s">
        <v>1233</v>
      </c>
      <c r="D151" t="s">
        <v>741</v>
      </c>
      <c r="E151" t="s">
        <v>734</v>
      </c>
      <c r="F151" t="s">
        <v>885</v>
      </c>
    </row>
    <row r="152" spans="1:7" x14ac:dyDescent="0.15">
      <c r="A152" s="27">
        <v>45934</v>
      </c>
      <c r="B152" s="27">
        <v>45934</v>
      </c>
      <c r="C152" t="s">
        <v>1244</v>
      </c>
      <c r="D152" t="s">
        <v>741</v>
      </c>
      <c r="E152" t="s">
        <v>734</v>
      </c>
      <c r="F152" t="s">
        <v>885</v>
      </c>
    </row>
    <row r="153" spans="1:7" x14ac:dyDescent="0.15">
      <c r="A153" s="27">
        <v>45934</v>
      </c>
      <c r="B153" s="27">
        <v>45934</v>
      </c>
      <c r="C153" t="s">
        <v>1249</v>
      </c>
      <c r="D153" t="s">
        <v>741</v>
      </c>
      <c r="E153" t="s">
        <v>734</v>
      </c>
      <c r="F153" t="s">
        <v>885</v>
      </c>
    </row>
    <row r="154" spans="1:7" x14ac:dyDescent="0.15">
      <c r="A154" s="27">
        <v>45935</v>
      </c>
      <c r="B154" s="27">
        <v>45935</v>
      </c>
      <c r="C154" t="s">
        <v>1109</v>
      </c>
      <c r="D154" t="s">
        <v>772</v>
      </c>
      <c r="F154" t="s">
        <v>963</v>
      </c>
      <c r="G154" t="s">
        <v>964</v>
      </c>
    </row>
    <row r="155" spans="1:7" x14ac:dyDescent="0.15">
      <c r="A155" s="27">
        <v>45936</v>
      </c>
      <c r="B155" s="27">
        <v>45962</v>
      </c>
      <c r="C155" t="s">
        <v>1110</v>
      </c>
      <c r="D155" t="s">
        <v>772</v>
      </c>
      <c r="F155" t="s">
        <v>1094</v>
      </c>
      <c r="G155" t="s">
        <v>1095</v>
      </c>
    </row>
    <row r="156" spans="1:7" x14ac:dyDescent="0.15">
      <c r="A156" s="27">
        <v>45936</v>
      </c>
      <c r="B156" s="27">
        <v>45936</v>
      </c>
      <c r="C156" t="s">
        <v>782</v>
      </c>
      <c r="D156" t="s">
        <v>772</v>
      </c>
      <c r="E156" t="s">
        <v>741</v>
      </c>
      <c r="F156" t="s">
        <v>736</v>
      </c>
    </row>
    <row r="157" spans="1:7" x14ac:dyDescent="0.15">
      <c r="A157" s="27">
        <v>45936</v>
      </c>
      <c r="B157" s="27">
        <v>45936</v>
      </c>
      <c r="C157" t="s">
        <v>1111</v>
      </c>
      <c r="D157" t="s">
        <v>772</v>
      </c>
      <c r="F157" t="s">
        <v>963</v>
      </c>
      <c r="G157" t="s">
        <v>964</v>
      </c>
    </row>
    <row r="158" spans="1:7" x14ac:dyDescent="0.15">
      <c r="A158" s="27">
        <v>45936</v>
      </c>
      <c r="B158" s="27">
        <v>45962</v>
      </c>
      <c r="C158" t="s">
        <v>1112</v>
      </c>
      <c r="D158" t="s">
        <v>772</v>
      </c>
      <c r="F158" t="s">
        <v>1113</v>
      </c>
      <c r="G158" t="s">
        <v>1114</v>
      </c>
    </row>
    <row r="159" spans="1:7" x14ac:dyDescent="0.15">
      <c r="A159" s="27">
        <v>45936</v>
      </c>
      <c r="B159" s="27">
        <v>45936</v>
      </c>
      <c r="C159" t="s">
        <v>1115</v>
      </c>
      <c r="D159" t="s">
        <v>772</v>
      </c>
      <c r="E159" t="s">
        <v>741</v>
      </c>
      <c r="F159" t="s">
        <v>736</v>
      </c>
    </row>
    <row r="160" spans="1:7" x14ac:dyDescent="0.15">
      <c r="A160" s="27">
        <v>45936</v>
      </c>
      <c r="B160" s="27">
        <v>45962</v>
      </c>
      <c r="C160" t="s">
        <v>1116</v>
      </c>
      <c r="D160" t="s">
        <v>772</v>
      </c>
      <c r="F160" t="s">
        <v>1117</v>
      </c>
      <c r="G160" t="s">
        <v>1118</v>
      </c>
    </row>
    <row r="161" spans="1:7" x14ac:dyDescent="0.15">
      <c r="A161" s="27">
        <v>45936</v>
      </c>
      <c r="B161" s="27">
        <v>45936</v>
      </c>
      <c r="C161" t="s">
        <v>780</v>
      </c>
      <c r="D161" t="s">
        <v>772</v>
      </c>
      <c r="E161" t="s">
        <v>741</v>
      </c>
      <c r="F161" t="s">
        <v>736</v>
      </c>
    </row>
    <row r="162" spans="1:7" x14ac:dyDescent="0.15">
      <c r="A162" s="27">
        <v>45936</v>
      </c>
      <c r="B162" s="27">
        <v>45936</v>
      </c>
      <c r="C162" t="s">
        <v>1244</v>
      </c>
      <c r="D162" t="s">
        <v>741</v>
      </c>
      <c r="E162" t="s">
        <v>772</v>
      </c>
      <c r="F162" t="s">
        <v>736</v>
      </c>
    </row>
    <row r="163" spans="1:7" x14ac:dyDescent="0.15">
      <c r="A163" s="27">
        <v>45936</v>
      </c>
      <c r="B163" s="27">
        <v>45936</v>
      </c>
      <c r="C163" t="s">
        <v>1250</v>
      </c>
      <c r="D163" t="s">
        <v>741</v>
      </c>
      <c r="E163" t="s">
        <v>772</v>
      </c>
      <c r="F163" t="s">
        <v>736</v>
      </c>
    </row>
    <row r="164" spans="1:7" x14ac:dyDescent="0.15">
      <c r="A164" s="27">
        <v>45936</v>
      </c>
      <c r="B164" s="27">
        <v>45936</v>
      </c>
      <c r="C164" t="s">
        <v>1233</v>
      </c>
      <c r="D164" t="s">
        <v>741</v>
      </c>
      <c r="E164" t="s">
        <v>772</v>
      </c>
      <c r="F164" t="s">
        <v>736</v>
      </c>
    </row>
    <row r="165" spans="1:7" x14ac:dyDescent="0.15">
      <c r="A165" s="27">
        <v>45937</v>
      </c>
      <c r="B165" s="27">
        <v>45937</v>
      </c>
      <c r="C165" t="s">
        <v>1119</v>
      </c>
      <c r="D165" t="s">
        <v>772</v>
      </c>
      <c r="E165" t="s">
        <v>929</v>
      </c>
      <c r="F165" t="s">
        <v>990</v>
      </c>
      <c r="G165" t="s">
        <v>1120</v>
      </c>
    </row>
    <row r="166" spans="1:7" x14ac:dyDescent="0.15">
      <c r="A166" s="27">
        <v>45938</v>
      </c>
      <c r="B166" s="27">
        <v>45962</v>
      </c>
      <c r="C166" t="s">
        <v>1121</v>
      </c>
      <c r="D166" t="s">
        <v>772</v>
      </c>
      <c r="F166" t="s">
        <v>1122</v>
      </c>
      <c r="G166" t="s">
        <v>1123</v>
      </c>
    </row>
    <row r="167" spans="1:7" x14ac:dyDescent="0.15">
      <c r="A167" s="27">
        <v>45938</v>
      </c>
      <c r="B167" s="27">
        <v>45938</v>
      </c>
      <c r="C167" t="s">
        <v>836</v>
      </c>
      <c r="D167" t="s">
        <v>772</v>
      </c>
      <c r="E167" t="s">
        <v>741</v>
      </c>
      <c r="F167" t="s">
        <v>736</v>
      </c>
    </row>
    <row r="168" spans="1:7" x14ac:dyDescent="0.15">
      <c r="A168" s="27">
        <v>45938</v>
      </c>
      <c r="B168" s="27">
        <v>45962</v>
      </c>
      <c r="C168" t="s">
        <v>1124</v>
      </c>
      <c r="D168" t="s">
        <v>772</v>
      </c>
      <c r="F168" t="s">
        <v>907</v>
      </c>
      <c r="G168" t="s">
        <v>908</v>
      </c>
    </row>
    <row r="169" spans="1:7" x14ac:dyDescent="0.15">
      <c r="A169" s="27">
        <v>45938</v>
      </c>
      <c r="B169" s="27">
        <v>45938</v>
      </c>
      <c r="C169" t="s">
        <v>937</v>
      </c>
      <c r="D169" t="s">
        <v>772</v>
      </c>
      <c r="E169" t="s">
        <v>741</v>
      </c>
      <c r="F169" t="s">
        <v>736</v>
      </c>
    </row>
    <row r="170" spans="1:7" x14ac:dyDescent="0.15">
      <c r="A170" s="27">
        <v>45938</v>
      </c>
      <c r="B170" s="27">
        <v>45938</v>
      </c>
      <c r="C170" t="s">
        <v>1237</v>
      </c>
      <c r="D170" t="s">
        <v>741</v>
      </c>
      <c r="E170" t="s">
        <v>772</v>
      </c>
      <c r="F170" t="s">
        <v>736</v>
      </c>
    </row>
    <row r="171" spans="1:7" x14ac:dyDescent="0.15">
      <c r="A171" s="27">
        <v>45938</v>
      </c>
      <c r="B171" s="27">
        <v>45938</v>
      </c>
      <c r="C171" t="s">
        <v>1239</v>
      </c>
      <c r="D171" t="s">
        <v>741</v>
      </c>
      <c r="E171" t="s">
        <v>772</v>
      </c>
      <c r="F171" t="s">
        <v>736</v>
      </c>
    </row>
    <row r="172" spans="1:7" x14ac:dyDescent="0.15">
      <c r="A172" s="27">
        <v>45939</v>
      </c>
      <c r="B172" s="27">
        <v>45939</v>
      </c>
      <c r="C172" t="s">
        <v>787</v>
      </c>
      <c r="D172" t="s">
        <v>734</v>
      </c>
      <c r="F172" t="s">
        <v>788</v>
      </c>
      <c r="G172" t="s">
        <v>789</v>
      </c>
    </row>
    <row r="173" spans="1:7" x14ac:dyDescent="0.15">
      <c r="A173" s="27">
        <v>45939</v>
      </c>
      <c r="B173" s="27">
        <v>45939</v>
      </c>
      <c r="C173" t="s">
        <v>749</v>
      </c>
      <c r="D173" t="s">
        <v>734</v>
      </c>
      <c r="E173" t="s">
        <v>741</v>
      </c>
      <c r="F173" t="s">
        <v>736</v>
      </c>
    </row>
    <row r="174" spans="1:7" x14ac:dyDescent="0.15">
      <c r="A174" s="27">
        <v>45939</v>
      </c>
      <c r="B174" s="27">
        <v>45939</v>
      </c>
      <c r="C174" t="s">
        <v>790</v>
      </c>
      <c r="D174" t="s">
        <v>734</v>
      </c>
      <c r="F174" t="s">
        <v>791</v>
      </c>
      <c r="G174" t="s">
        <v>792</v>
      </c>
    </row>
    <row r="175" spans="1:7" x14ac:dyDescent="0.15">
      <c r="A175" s="27">
        <v>45939</v>
      </c>
      <c r="B175" s="27">
        <v>45939</v>
      </c>
      <c r="C175" t="s">
        <v>758</v>
      </c>
      <c r="D175" t="s">
        <v>734</v>
      </c>
      <c r="E175" t="s">
        <v>741</v>
      </c>
      <c r="F175" t="s">
        <v>736</v>
      </c>
    </row>
    <row r="176" spans="1:7" x14ac:dyDescent="0.15">
      <c r="A176" s="27">
        <v>45939</v>
      </c>
      <c r="B176" s="27">
        <v>45939</v>
      </c>
      <c r="C176" t="s">
        <v>968</v>
      </c>
      <c r="D176" t="s">
        <v>735</v>
      </c>
      <c r="F176" t="s">
        <v>827</v>
      </c>
      <c r="G176" t="s">
        <v>828</v>
      </c>
    </row>
    <row r="177" spans="1:7" x14ac:dyDescent="0.15">
      <c r="A177" s="27">
        <v>45939</v>
      </c>
      <c r="B177" s="27">
        <v>45939</v>
      </c>
      <c r="C177" t="s">
        <v>969</v>
      </c>
      <c r="D177" t="s">
        <v>735</v>
      </c>
      <c r="E177" t="s">
        <v>741</v>
      </c>
      <c r="F177" t="s">
        <v>736</v>
      </c>
    </row>
    <row r="178" spans="1:7" x14ac:dyDescent="0.15">
      <c r="A178" s="27">
        <v>45939</v>
      </c>
      <c r="B178" s="27">
        <v>45939</v>
      </c>
      <c r="C178" t="s">
        <v>970</v>
      </c>
      <c r="D178" t="s">
        <v>735</v>
      </c>
      <c r="F178" t="s">
        <v>751</v>
      </c>
      <c r="G178" t="s">
        <v>752</v>
      </c>
    </row>
    <row r="179" spans="1:7" x14ac:dyDescent="0.15">
      <c r="A179" s="27">
        <v>45939</v>
      </c>
      <c r="B179" s="27">
        <v>45939</v>
      </c>
      <c r="C179" t="s">
        <v>821</v>
      </c>
      <c r="D179" t="s">
        <v>735</v>
      </c>
      <c r="E179" t="s">
        <v>741</v>
      </c>
      <c r="F179" t="s">
        <v>736</v>
      </c>
    </row>
    <row r="180" spans="1:7" x14ac:dyDescent="0.15">
      <c r="A180" s="27">
        <v>45939</v>
      </c>
      <c r="B180" s="27">
        <v>45939</v>
      </c>
      <c r="C180" t="s">
        <v>1231</v>
      </c>
      <c r="D180" t="s">
        <v>741</v>
      </c>
      <c r="E180" t="s">
        <v>734</v>
      </c>
      <c r="F180" t="s">
        <v>885</v>
      </c>
    </row>
    <row r="181" spans="1:7" x14ac:dyDescent="0.15">
      <c r="A181" s="27">
        <v>45939</v>
      </c>
      <c r="B181" s="27">
        <v>45939</v>
      </c>
      <c r="C181" t="s">
        <v>1241</v>
      </c>
      <c r="D181" t="s">
        <v>741</v>
      </c>
      <c r="E181" t="s">
        <v>734</v>
      </c>
      <c r="F181" t="s">
        <v>885</v>
      </c>
    </row>
    <row r="182" spans="1:7" x14ac:dyDescent="0.15">
      <c r="A182" s="27">
        <v>45939</v>
      </c>
      <c r="B182" s="27">
        <v>45939</v>
      </c>
      <c r="C182" t="s">
        <v>1251</v>
      </c>
      <c r="D182" t="s">
        <v>741</v>
      </c>
      <c r="E182" t="s">
        <v>735</v>
      </c>
      <c r="F182" t="s">
        <v>736</v>
      </c>
    </row>
    <row r="183" spans="1:7" x14ac:dyDescent="0.15">
      <c r="A183" s="27">
        <v>45939</v>
      </c>
      <c r="B183" s="27">
        <v>45939</v>
      </c>
      <c r="C183" t="s">
        <v>1245</v>
      </c>
      <c r="D183" t="s">
        <v>741</v>
      </c>
      <c r="E183" t="s">
        <v>735</v>
      </c>
      <c r="F183" t="s">
        <v>736</v>
      </c>
    </row>
    <row r="184" spans="1:7" x14ac:dyDescent="0.15">
      <c r="A184" s="27">
        <v>45940</v>
      </c>
      <c r="B184" s="27">
        <v>45962</v>
      </c>
      <c r="C184" t="s">
        <v>763</v>
      </c>
      <c r="D184" t="s">
        <v>734</v>
      </c>
      <c r="F184" t="s">
        <v>760</v>
      </c>
      <c r="G184" t="s">
        <v>793</v>
      </c>
    </row>
    <row r="185" spans="1:7" x14ac:dyDescent="0.15">
      <c r="A185" s="27">
        <v>45940</v>
      </c>
      <c r="B185" s="27">
        <v>45940</v>
      </c>
      <c r="C185" t="s">
        <v>762</v>
      </c>
      <c r="D185" t="s">
        <v>734</v>
      </c>
      <c r="E185" t="s">
        <v>741</v>
      </c>
      <c r="F185" t="s">
        <v>736</v>
      </c>
    </row>
    <row r="186" spans="1:7" x14ac:dyDescent="0.15">
      <c r="A186" s="27">
        <v>45940</v>
      </c>
      <c r="B186" s="27">
        <v>45940</v>
      </c>
      <c r="C186" t="s">
        <v>971</v>
      </c>
      <c r="D186" t="s">
        <v>735</v>
      </c>
      <c r="F186" t="s">
        <v>972</v>
      </c>
      <c r="G186" t="s">
        <v>973</v>
      </c>
    </row>
    <row r="187" spans="1:7" x14ac:dyDescent="0.15">
      <c r="A187" s="27">
        <v>45940</v>
      </c>
      <c r="B187" s="27">
        <v>45940</v>
      </c>
      <c r="C187" t="s">
        <v>974</v>
      </c>
      <c r="D187" t="s">
        <v>735</v>
      </c>
      <c r="E187" t="s">
        <v>741</v>
      </c>
      <c r="F187" t="s">
        <v>736</v>
      </c>
    </row>
    <row r="188" spans="1:7" x14ac:dyDescent="0.15">
      <c r="A188" s="27">
        <v>45940</v>
      </c>
      <c r="B188" s="27">
        <v>45940</v>
      </c>
      <c r="C188" t="s">
        <v>975</v>
      </c>
      <c r="D188" t="s">
        <v>735</v>
      </c>
      <c r="F188" t="s">
        <v>976</v>
      </c>
      <c r="G188" t="s">
        <v>977</v>
      </c>
    </row>
    <row r="189" spans="1:7" x14ac:dyDescent="0.15">
      <c r="A189" s="27">
        <v>45940</v>
      </c>
      <c r="B189" s="27">
        <v>45940</v>
      </c>
      <c r="C189" t="s">
        <v>909</v>
      </c>
      <c r="D189" t="s">
        <v>735</v>
      </c>
      <c r="E189" t="s">
        <v>741</v>
      </c>
      <c r="F189" t="s">
        <v>736</v>
      </c>
    </row>
    <row r="190" spans="1:7" x14ac:dyDescent="0.15">
      <c r="A190" s="27">
        <v>45940</v>
      </c>
      <c r="B190" s="27">
        <v>45940</v>
      </c>
      <c r="C190" t="s">
        <v>1125</v>
      </c>
      <c r="D190" t="s">
        <v>772</v>
      </c>
      <c r="F190" t="s">
        <v>1126</v>
      </c>
      <c r="G190" t="s">
        <v>1127</v>
      </c>
    </row>
    <row r="191" spans="1:7" x14ac:dyDescent="0.15">
      <c r="A191" s="27">
        <v>45940</v>
      </c>
      <c r="B191" s="27">
        <v>45962</v>
      </c>
      <c r="C191" t="s">
        <v>1128</v>
      </c>
      <c r="D191" t="s">
        <v>772</v>
      </c>
      <c r="F191" t="s">
        <v>1129</v>
      </c>
      <c r="G191" t="s">
        <v>1130</v>
      </c>
    </row>
    <row r="192" spans="1:7" x14ac:dyDescent="0.15">
      <c r="A192" s="27">
        <v>45940</v>
      </c>
      <c r="B192" s="27">
        <v>45940</v>
      </c>
      <c r="C192" t="s">
        <v>890</v>
      </c>
      <c r="D192" t="s">
        <v>772</v>
      </c>
      <c r="E192" t="s">
        <v>741</v>
      </c>
      <c r="F192" t="s">
        <v>736</v>
      </c>
    </row>
    <row r="193" spans="1:7" x14ac:dyDescent="0.15">
      <c r="A193" s="27">
        <v>45940</v>
      </c>
      <c r="B193" s="27">
        <v>45962</v>
      </c>
      <c r="C193" t="s">
        <v>1131</v>
      </c>
      <c r="D193" t="s">
        <v>772</v>
      </c>
      <c r="F193" t="s">
        <v>1132</v>
      </c>
      <c r="G193" t="s">
        <v>1133</v>
      </c>
    </row>
    <row r="194" spans="1:7" x14ac:dyDescent="0.15">
      <c r="A194" s="27">
        <v>45940</v>
      </c>
      <c r="B194" s="27">
        <v>45940</v>
      </c>
      <c r="C194" t="s">
        <v>1134</v>
      </c>
      <c r="D194" t="s">
        <v>772</v>
      </c>
      <c r="E194" t="s">
        <v>741</v>
      </c>
      <c r="F194" t="s">
        <v>736</v>
      </c>
    </row>
    <row r="195" spans="1:7" x14ac:dyDescent="0.15">
      <c r="A195" s="27">
        <v>45940</v>
      </c>
      <c r="B195" s="27">
        <v>45940</v>
      </c>
      <c r="C195" t="s">
        <v>1135</v>
      </c>
      <c r="D195" t="s">
        <v>772</v>
      </c>
      <c r="F195" t="s">
        <v>1126</v>
      </c>
      <c r="G195" t="s">
        <v>1127</v>
      </c>
    </row>
    <row r="196" spans="1:7" x14ac:dyDescent="0.15">
      <c r="A196" s="27">
        <v>45940</v>
      </c>
      <c r="B196" s="27">
        <v>45940</v>
      </c>
      <c r="C196" t="s">
        <v>874</v>
      </c>
      <c r="D196" t="s">
        <v>741</v>
      </c>
      <c r="E196" t="s">
        <v>734</v>
      </c>
      <c r="F196" t="s">
        <v>885</v>
      </c>
    </row>
    <row r="197" spans="1:7" x14ac:dyDescent="0.15">
      <c r="A197" s="27">
        <v>45940</v>
      </c>
      <c r="B197" s="27">
        <v>45940</v>
      </c>
      <c r="C197" t="s">
        <v>1252</v>
      </c>
      <c r="D197" t="s">
        <v>741</v>
      </c>
      <c r="E197" t="s">
        <v>735</v>
      </c>
      <c r="F197" t="s">
        <v>736</v>
      </c>
    </row>
    <row r="198" spans="1:7" x14ac:dyDescent="0.15">
      <c r="A198" s="27">
        <v>45940</v>
      </c>
      <c r="B198" s="27">
        <v>45940</v>
      </c>
      <c r="C198" t="s">
        <v>1253</v>
      </c>
      <c r="D198" t="s">
        <v>741</v>
      </c>
      <c r="E198" t="s">
        <v>772</v>
      </c>
      <c r="F198" t="s">
        <v>736</v>
      </c>
    </row>
    <row r="199" spans="1:7" x14ac:dyDescent="0.15">
      <c r="A199" s="27">
        <v>45940</v>
      </c>
      <c r="B199" s="27">
        <v>45940</v>
      </c>
      <c r="C199" t="s">
        <v>1254</v>
      </c>
      <c r="D199" t="s">
        <v>741</v>
      </c>
      <c r="E199" t="s">
        <v>772</v>
      </c>
      <c r="F199" t="s">
        <v>736</v>
      </c>
    </row>
    <row r="200" spans="1:7" x14ac:dyDescent="0.15">
      <c r="A200" s="27">
        <v>45940</v>
      </c>
      <c r="B200" s="27">
        <v>45940</v>
      </c>
      <c r="C200" t="s">
        <v>1235</v>
      </c>
      <c r="D200" t="s">
        <v>741</v>
      </c>
      <c r="E200" t="s">
        <v>735</v>
      </c>
      <c r="F200" t="s">
        <v>736</v>
      </c>
    </row>
    <row r="201" spans="1:7" x14ac:dyDescent="0.15">
      <c r="A201" s="27">
        <v>45941</v>
      </c>
      <c r="B201" s="27">
        <v>45941</v>
      </c>
      <c r="C201" t="s">
        <v>892</v>
      </c>
      <c r="D201" t="s">
        <v>735</v>
      </c>
      <c r="E201" t="s">
        <v>765</v>
      </c>
      <c r="F201" t="s">
        <v>912</v>
      </c>
    </row>
    <row r="202" spans="1:7" x14ac:dyDescent="0.15">
      <c r="A202" s="27">
        <v>45941</v>
      </c>
      <c r="B202" s="27">
        <v>45941</v>
      </c>
      <c r="C202" t="s">
        <v>892</v>
      </c>
      <c r="D202" t="s">
        <v>735</v>
      </c>
      <c r="E202" t="s">
        <v>795</v>
      </c>
      <c r="F202" t="s">
        <v>913</v>
      </c>
    </row>
    <row r="203" spans="1:7" x14ac:dyDescent="0.15">
      <c r="A203" s="27">
        <v>45941</v>
      </c>
      <c r="B203" s="27">
        <v>45941</v>
      </c>
      <c r="C203" t="s">
        <v>978</v>
      </c>
      <c r="D203" t="s">
        <v>735</v>
      </c>
      <c r="F203" t="s">
        <v>979</v>
      </c>
      <c r="G203" t="s">
        <v>980</v>
      </c>
    </row>
    <row r="204" spans="1:7" x14ac:dyDescent="0.15">
      <c r="A204" s="27">
        <v>45941</v>
      </c>
      <c r="B204" s="27">
        <v>45941</v>
      </c>
      <c r="C204" t="s">
        <v>836</v>
      </c>
      <c r="D204" t="s">
        <v>735</v>
      </c>
      <c r="E204" t="s">
        <v>741</v>
      </c>
      <c r="F204" t="s">
        <v>736</v>
      </c>
    </row>
    <row r="205" spans="1:7" x14ac:dyDescent="0.15">
      <c r="A205" s="27">
        <v>45941</v>
      </c>
      <c r="B205" s="27">
        <v>45962</v>
      </c>
      <c r="C205" t="s">
        <v>1136</v>
      </c>
      <c r="D205" t="s">
        <v>772</v>
      </c>
      <c r="F205" t="s">
        <v>1137</v>
      </c>
      <c r="G205" t="s">
        <v>1138</v>
      </c>
    </row>
    <row r="206" spans="1:7" x14ac:dyDescent="0.15">
      <c r="A206" s="27">
        <v>45941</v>
      </c>
      <c r="B206" s="27">
        <v>45941</v>
      </c>
      <c r="C206" t="s">
        <v>909</v>
      </c>
      <c r="D206" t="s">
        <v>772</v>
      </c>
      <c r="E206" t="s">
        <v>741</v>
      </c>
      <c r="F206" t="s">
        <v>736</v>
      </c>
    </row>
    <row r="207" spans="1:7" x14ac:dyDescent="0.15">
      <c r="A207" s="27">
        <v>45941</v>
      </c>
      <c r="B207" s="27">
        <v>45941</v>
      </c>
      <c r="C207" t="s">
        <v>1237</v>
      </c>
      <c r="D207" t="s">
        <v>741</v>
      </c>
      <c r="E207" t="s">
        <v>735</v>
      </c>
      <c r="F207" t="s">
        <v>736</v>
      </c>
    </row>
    <row r="208" spans="1:7" x14ac:dyDescent="0.15">
      <c r="A208" s="27">
        <v>45941</v>
      </c>
      <c r="B208" s="27">
        <v>45941</v>
      </c>
      <c r="C208" t="s">
        <v>1235</v>
      </c>
      <c r="D208" t="s">
        <v>741</v>
      </c>
      <c r="E208" t="s">
        <v>772</v>
      </c>
      <c r="F208" t="s">
        <v>736</v>
      </c>
    </row>
    <row r="209" spans="1:7" x14ac:dyDescent="0.15">
      <c r="A209" s="27">
        <v>45942</v>
      </c>
      <c r="B209" s="27">
        <v>45942</v>
      </c>
      <c r="C209" t="s">
        <v>981</v>
      </c>
      <c r="D209" t="s">
        <v>735</v>
      </c>
      <c r="E209" t="s">
        <v>772</v>
      </c>
      <c r="F209" t="s">
        <v>736</v>
      </c>
    </row>
    <row r="210" spans="1:7" x14ac:dyDescent="0.15">
      <c r="A210" s="27">
        <v>45942</v>
      </c>
      <c r="B210" s="27">
        <v>45942</v>
      </c>
      <c r="C210" t="s">
        <v>1139</v>
      </c>
      <c r="D210" t="s">
        <v>772</v>
      </c>
      <c r="E210" t="s">
        <v>929</v>
      </c>
      <c r="F210" t="s">
        <v>990</v>
      </c>
      <c r="G210" t="s">
        <v>1140</v>
      </c>
    </row>
    <row r="211" spans="1:7" x14ac:dyDescent="0.15">
      <c r="A211" s="27">
        <v>45942</v>
      </c>
      <c r="B211" s="27">
        <v>45942</v>
      </c>
      <c r="C211" t="s">
        <v>1141</v>
      </c>
      <c r="D211" t="s">
        <v>772</v>
      </c>
      <c r="E211" t="s">
        <v>929</v>
      </c>
      <c r="F211" t="s">
        <v>990</v>
      </c>
      <c r="G211" t="s">
        <v>1142</v>
      </c>
    </row>
    <row r="212" spans="1:7" x14ac:dyDescent="0.15">
      <c r="A212" s="27">
        <v>45942</v>
      </c>
      <c r="B212" s="27">
        <v>45942</v>
      </c>
      <c r="C212" t="s">
        <v>1143</v>
      </c>
      <c r="D212" t="s">
        <v>772</v>
      </c>
      <c r="E212" t="s">
        <v>735</v>
      </c>
      <c r="F212" t="s">
        <v>815</v>
      </c>
    </row>
    <row r="213" spans="1:7" x14ac:dyDescent="0.15">
      <c r="A213" s="27">
        <v>45945</v>
      </c>
      <c r="B213" s="27">
        <v>45945</v>
      </c>
      <c r="C213" t="s">
        <v>982</v>
      </c>
      <c r="D213" t="s">
        <v>735</v>
      </c>
      <c r="F213" t="s">
        <v>983</v>
      </c>
      <c r="G213" t="s">
        <v>984</v>
      </c>
    </row>
    <row r="214" spans="1:7" x14ac:dyDescent="0.15">
      <c r="A214" s="27">
        <v>45945</v>
      </c>
      <c r="B214" s="27">
        <v>45945</v>
      </c>
      <c r="C214" t="s">
        <v>974</v>
      </c>
      <c r="D214" t="s">
        <v>735</v>
      </c>
      <c r="E214" t="s">
        <v>741</v>
      </c>
      <c r="F214" t="s">
        <v>736</v>
      </c>
    </row>
    <row r="215" spans="1:7" x14ac:dyDescent="0.15">
      <c r="A215" s="27">
        <v>45945</v>
      </c>
      <c r="B215" s="27">
        <v>45945</v>
      </c>
      <c r="C215" t="s">
        <v>928</v>
      </c>
      <c r="D215" t="s">
        <v>735</v>
      </c>
      <c r="E215" t="s">
        <v>929</v>
      </c>
      <c r="F215" t="s">
        <v>930</v>
      </c>
      <c r="G215" t="s">
        <v>985</v>
      </c>
    </row>
    <row r="216" spans="1:7" x14ac:dyDescent="0.15">
      <c r="A216" s="27">
        <v>45945</v>
      </c>
      <c r="B216" s="27">
        <v>45945</v>
      </c>
      <c r="C216" t="s">
        <v>986</v>
      </c>
      <c r="D216" t="s">
        <v>735</v>
      </c>
      <c r="F216" t="s">
        <v>857</v>
      </c>
      <c r="G216" t="s">
        <v>858</v>
      </c>
    </row>
    <row r="217" spans="1:7" x14ac:dyDescent="0.15">
      <c r="A217" s="27">
        <v>45945</v>
      </c>
      <c r="B217" s="27">
        <v>45945</v>
      </c>
      <c r="C217" t="s">
        <v>890</v>
      </c>
      <c r="D217" t="s">
        <v>735</v>
      </c>
      <c r="E217" t="s">
        <v>741</v>
      </c>
      <c r="F217" t="s">
        <v>736</v>
      </c>
    </row>
    <row r="218" spans="1:7" x14ac:dyDescent="0.15">
      <c r="A218" s="27">
        <v>45945</v>
      </c>
      <c r="B218" s="27">
        <v>45945</v>
      </c>
      <c r="C218" t="s">
        <v>1252</v>
      </c>
      <c r="D218" t="s">
        <v>741</v>
      </c>
      <c r="E218" t="s">
        <v>735</v>
      </c>
      <c r="F218" t="s">
        <v>736</v>
      </c>
    </row>
    <row r="219" spans="1:7" x14ac:dyDescent="0.15">
      <c r="A219" s="27">
        <v>45945</v>
      </c>
      <c r="B219" s="27">
        <v>45945</v>
      </c>
      <c r="C219" t="s">
        <v>1253</v>
      </c>
      <c r="D219" t="s">
        <v>741</v>
      </c>
      <c r="E219" t="s">
        <v>735</v>
      </c>
      <c r="F219" t="s">
        <v>736</v>
      </c>
    </row>
    <row r="220" spans="1:7" x14ac:dyDescent="0.15">
      <c r="A220" s="27">
        <v>45946</v>
      </c>
      <c r="B220" s="27">
        <v>45946</v>
      </c>
      <c r="C220" t="s">
        <v>987</v>
      </c>
      <c r="D220" t="s">
        <v>735</v>
      </c>
      <c r="E220" t="s">
        <v>795</v>
      </c>
      <c r="F220" t="s">
        <v>796</v>
      </c>
    </row>
    <row r="221" spans="1:7" x14ac:dyDescent="0.15">
      <c r="A221" s="27">
        <v>45946</v>
      </c>
      <c r="B221" s="27">
        <v>45946</v>
      </c>
      <c r="C221" t="s">
        <v>988</v>
      </c>
      <c r="D221" t="s">
        <v>735</v>
      </c>
      <c r="E221" t="s">
        <v>765</v>
      </c>
      <c r="F221" t="s">
        <v>766</v>
      </c>
    </row>
    <row r="222" spans="1:7" x14ac:dyDescent="0.15">
      <c r="A222" s="27">
        <v>45946</v>
      </c>
      <c r="B222" s="27">
        <v>45946</v>
      </c>
      <c r="C222" t="s">
        <v>989</v>
      </c>
      <c r="D222" t="s">
        <v>735</v>
      </c>
      <c r="E222" t="s">
        <v>929</v>
      </c>
      <c r="F222" t="s">
        <v>990</v>
      </c>
      <c r="G222" t="s">
        <v>991</v>
      </c>
    </row>
    <row r="223" spans="1:7" x14ac:dyDescent="0.15">
      <c r="A223" s="27">
        <v>45946</v>
      </c>
      <c r="B223" s="27">
        <v>45946</v>
      </c>
      <c r="C223" t="s">
        <v>992</v>
      </c>
      <c r="D223" t="s">
        <v>735</v>
      </c>
      <c r="F223" t="s">
        <v>903</v>
      </c>
      <c r="G223" t="s">
        <v>904</v>
      </c>
    </row>
    <row r="224" spans="1:7" x14ac:dyDescent="0.15">
      <c r="A224" s="27">
        <v>45946</v>
      </c>
      <c r="B224" s="27">
        <v>45946</v>
      </c>
      <c r="C224" t="s">
        <v>993</v>
      </c>
      <c r="D224" t="s">
        <v>735</v>
      </c>
      <c r="E224" t="s">
        <v>741</v>
      </c>
      <c r="F224" t="s">
        <v>736</v>
      </c>
    </row>
    <row r="225" spans="1:7" x14ac:dyDescent="0.15">
      <c r="A225" s="27">
        <v>45946</v>
      </c>
      <c r="B225" s="27">
        <v>45946</v>
      </c>
      <c r="C225" t="s">
        <v>837</v>
      </c>
      <c r="D225" t="s">
        <v>735</v>
      </c>
      <c r="E225" t="s">
        <v>994</v>
      </c>
      <c r="F225" t="s">
        <v>995</v>
      </c>
      <c r="G225" t="s">
        <v>996</v>
      </c>
    </row>
    <row r="226" spans="1:7" x14ac:dyDescent="0.15">
      <c r="A226" s="27">
        <v>45946</v>
      </c>
      <c r="B226" s="27">
        <v>45946</v>
      </c>
      <c r="C226" t="s">
        <v>780</v>
      </c>
      <c r="D226" t="s">
        <v>735</v>
      </c>
      <c r="E226" t="s">
        <v>741</v>
      </c>
      <c r="F226" t="s">
        <v>736</v>
      </c>
    </row>
    <row r="227" spans="1:7" x14ac:dyDescent="0.15">
      <c r="A227" s="27">
        <v>45946</v>
      </c>
      <c r="B227" s="27">
        <v>45946</v>
      </c>
      <c r="C227" t="s">
        <v>837</v>
      </c>
      <c r="D227" t="s">
        <v>735</v>
      </c>
      <c r="E227" t="s">
        <v>994</v>
      </c>
      <c r="F227" t="s">
        <v>995</v>
      </c>
      <c r="G227" t="s">
        <v>997</v>
      </c>
    </row>
    <row r="228" spans="1:7" x14ac:dyDescent="0.15">
      <c r="A228" s="27">
        <v>45946</v>
      </c>
      <c r="B228" s="27">
        <v>45946</v>
      </c>
      <c r="C228" t="s">
        <v>780</v>
      </c>
      <c r="D228" t="s">
        <v>735</v>
      </c>
      <c r="E228" t="s">
        <v>741</v>
      </c>
      <c r="F228" t="s">
        <v>736</v>
      </c>
    </row>
    <row r="229" spans="1:7" x14ac:dyDescent="0.15">
      <c r="A229" s="27">
        <v>45946</v>
      </c>
      <c r="B229" s="27">
        <v>45946</v>
      </c>
      <c r="C229" t="s">
        <v>1255</v>
      </c>
      <c r="D229" t="s">
        <v>741</v>
      </c>
      <c r="E229" t="s">
        <v>735</v>
      </c>
      <c r="F229" t="s">
        <v>736</v>
      </c>
    </row>
    <row r="230" spans="1:7" x14ac:dyDescent="0.15">
      <c r="A230" s="27">
        <v>45946</v>
      </c>
      <c r="B230" s="27">
        <v>45946</v>
      </c>
      <c r="C230" t="s">
        <v>1233</v>
      </c>
      <c r="D230" t="s">
        <v>741</v>
      </c>
      <c r="E230" t="s">
        <v>735</v>
      </c>
      <c r="F230" t="s">
        <v>736</v>
      </c>
    </row>
    <row r="231" spans="1:7" x14ac:dyDescent="0.15">
      <c r="A231" s="27">
        <v>45946</v>
      </c>
      <c r="B231" s="27">
        <v>45946</v>
      </c>
      <c r="C231" t="s">
        <v>1233</v>
      </c>
      <c r="D231" t="s">
        <v>741</v>
      </c>
      <c r="E231" t="s">
        <v>735</v>
      </c>
      <c r="F231" t="s">
        <v>736</v>
      </c>
    </row>
    <row r="232" spans="1:7" x14ac:dyDescent="0.15">
      <c r="A232" s="27">
        <v>45947</v>
      </c>
      <c r="B232" s="27">
        <v>45947</v>
      </c>
      <c r="C232" t="s">
        <v>998</v>
      </c>
      <c r="D232" t="s">
        <v>735</v>
      </c>
      <c r="F232" t="s">
        <v>999</v>
      </c>
      <c r="G232" t="s">
        <v>1000</v>
      </c>
    </row>
    <row r="233" spans="1:7" x14ac:dyDescent="0.15">
      <c r="A233" s="27">
        <v>45947</v>
      </c>
      <c r="B233" s="27">
        <v>45947</v>
      </c>
      <c r="C233" t="s">
        <v>780</v>
      </c>
      <c r="D233" t="s">
        <v>735</v>
      </c>
      <c r="E233" t="s">
        <v>741</v>
      </c>
      <c r="F233" t="s">
        <v>736</v>
      </c>
    </row>
    <row r="234" spans="1:7" x14ac:dyDescent="0.15">
      <c r="A234" s="27">
        <v>45947</v>
      </c>
      <c r="B234" s="27">
        <v>45947</v>
      </c>
      <c r="C234" t="s">
        <v>837</v>
      </c>
      <c r="D234" t="s">
        <v>735</v>
      </c>
      <c r="F234" t="s">
        <v>1001</v>
      </c>
      <c r="G234" t="s">
        <v>1002</v>
      </c>
    </row>
    <row r="235" spans="1:7" x14ac:dyDescent="0.15">
      <c r="A235" s="27">
        <v>45947</v>
      </c>
      <c r="B235" s="27">
        <v>45947</v>
      </c>
      <c r="C235" t="s">
        <v>780</v>
      </c>
      <c r="D235" t="s">
        <v>735</v>
      </c>
      <c r="E235" t="s">
        <v>741</v>
      </c>
      <c r="F235" t="s">
        <v>736</v>
      </c>
    </row>
    <row r="236" spans="1:7" x14ac:dyDescent="0.15">
      <c r="A236" s="27">
        <v>45947</v>
      </c>
      <c r="B236" s="27">
        <v>45947</v>
      </c>
      <c r="C236" t="s">
        <v>1233</v>
      </c>
      <c r="D236" t="s">
        <v>741</v>
      </c>
      <c r="E236" t="s">
        <v>735</v>
      </c>
      <c r="F236" t="s">
        <v>736</v>
      </c>
    </row>
    <row r="237" spans="1:7" x14ac:dyDescent="0.15">
      <c r="A237" s="27">
        <v>45947</v>
      </c>
      <c r="B237" s="27">
        <v>45947</v>
      </c>
      <c r="C237" t="s">
        <v>1233</v>
      </c>
      <c r="D237" t="s">
        <v>741</v>
      </c>
      <c r="E237" t="s">
        <v>735</v>
      </c>
      <c r="F237" t="s">
        <v>736</v>
      </c>
    </row>
    <row r="238" spans="1:7" x14ac:dyDescent="0.15">
      <c r="A238" s="27">
        <v>45948</v>
      </c>
      <c r="B238" s="27">
        <v>45948</v>
      </c>
      <c r="C238" t="s">
        <v>892</v>
      </c>
      <c r="D238" t="s">
        <v>735</v>
      </c>
      <c r="E238" t="s">
        <v>765</v>
      </c>
      <c r="F238" t="s">
        <v>912</v>
      </c>
    </row>
    <row r="239" spans="1:7" x14ac:dyDescent="0.15">
      <c r="A239" s="27">
        <v>45948</v>
      </c>
      <c r="B239" s="27">
        <v>45948</v>
      </c>
      <c r="C239" t="s">
        <v>892</v>
      </c>
      <c r="D239" t="s">
        <v>735</v>
      </c>
      <c r="E239" t="s">
        <v>795</v>
      </c>
      <c r="F239" t="s">
        <v>913</v>
      </c>
    </row>
    <row r="240" spans="1:7" x14ac:dyDescent="0.15">
      <c r="A240" s="27">
        <v>45950</v>
      </c>
      <c r="B240" s="27">
        <v>45950</v>
      </c>
      <c r="C240" t="s">
        <v>1233</v>
      </c>
      <c r="D240" t="s">
        <v>741</v>
      </c>
      <c r="E240" t="s">
        <v>817</v>
      </c>
      <c r="F240" t="s">
        <v>885</v>
      </c>
    </row>
    <row r="241" spans="1:7" x14ac:dyDescent="0.15">
      <c r="A241" s="27">
        <v>45953</v>
      </c>
      <c r="B241" s="27">
        <v>45953</v>
      </c>
      <c r="C241" t="s">
        <v>794</v>
      </c>
      <c r="D241" t="s">
        <v>734</v>
      </c>
      <c r="E241" t="s">
        <v>795</v>
      </c>
      <c r="F241" t="s">
        <v>796</v>
      </c>
    </row>
    <row r="242" spans="1:7" x14ac:dyDescent="0.15">
      <c r="A242" s="27">
        <v>45954</v>
      </c>
      <c r="B242" s="27">
        <v>45954</v>
      </c>
      <c r="C242" t="s">
        <v>797</v>
      </c>
      <c r="D242" t="s">
        <v>734</v>
      </c>
      <c r="E242" t="s">
        <v>798</v>
      </c>
      <c r="F242" t="s">
        <v>799</v>
      </c>
      <c r="G242" t="s">
        <v>800</v>
      </c>
    </row>
    <row r="243" spans="1:7" x14ac:dyDescent="0.15">
      <c r="A243" s="27">
        <v>45954</v>
      </c>
      <c r="B243" s="27">
        <v>45954</v>
      </c>
      <c r="C243" t="s">
        <v>762</v>
      </c>
      <c r="D243" t="s">
        <v>734</v>
      </c>
      <c r="E243" t="s">
        <v>741</v>
      </c>
      <c r="F243" t="s">
        <v>736</v>
      </c>
    </row>
    <row r="244" spans="1:7" x14ac:dyDescent="0.15">
      <c r="A244" s="27">
        <v>45954</v>
      </c>
      <c r="B244" s="27">
        <v>45962</v>
      </c>
      <c r="C244" t="s">
        <v>759</v>
      </c>
      <c r="D244" t="s">
        <v>734</v>
      </c>
      <c r="F244" t="s">
        <v>760</v>
      </c>
      <c r="G244" t="s">
        <v>801</v>
      </c>
    </row>
    <row r="245" spans="1:7" x14ac:dyDescent="0.15">
      <c r="A245" s="27">
        <v>45954</v>
      </c>
      <c r="B245" s="27">
        <v>45954</v>
      </c>
      <c r="C245" t="s">
        <v>762</v>
      </c>
      <c r="D245" t="s">
        <v>734</v>
      </c>
      <c r="E245" t="s">
        <v>741</v>
      </c>
      <c r="F245" t="s">
        <v>736</v>
      </c>
    </row>
    <row r="246" spans="1:7" x14ac:dyDescent="0.15">
      <c r="A246" s="27">
        <v>45954</v>
      </c>
      <c r="B246" s="27">
        <v>45954</v>
      </c>
      <c r="C246" t="s">
        <v>874</v>
      </c>
      <c r="D246" t="s">
        <v>741</v>
      </c>
      <c r="E246" t="s">
        <v>734</v>
      </c>
      <c r="F246" t="s">
        <v>885</v>
      </c>
    </row>
    <row r="247" spans="1:7" x14ac:dyDescent="0.15">
      <c r="A247" s="27">
        <v>45954</v>
      </c>
      <c r="B247" s="27">
        <v>45954</v>
      </c>
      <c r="C247" t="s">
        <v>874</v>
      </c>
      <c r="D247" t="s">
        <v>741</v>
      </c>
      <c r="E247" t="s">
        <v>734</v>
      </c>
      <c r="F247" t="s">
        <v>885</v>
      </c>
    </row>
    <row r="248" spans="1:7" x14ac:dyDescent="0.15">
      <c r="A248" s="27">
        <v>45955</v>
      </c>
      <c r="B248" s="27">
        <v>45962</v>
      </c>
      <c r="C248" t="s">
        <v>802</v>
      </c>
      <c r="D248" t="s">
        <v>734</v>
      </c>
      <c r="F248" t="s">
        <v>803</v>
      </c>
      <c r="G248" t="s">
        <v>804</v>
      </c>
    </row>
    <row r="249" spans="1:7" x14ac:dyDescent="0.15">
      <c r="A249" s="27">
        <v>45955</v>
      </c>
      <c r="B249" s="27">
        <v>45955</v>
      </c>
      <c r="C249" t="s">
        <v>805</v>
      </c>
      <c r="D249" t="s">
        <v>734</v>
      </c>
      <c r="E249" t="s">
        <v>741</v>
      </c>
      <c r="F249" t="s">
        <v>736</v>
      </c>
    </row>
    <row r="250" spans="1:7" x14ac:dyDescent="0.15">
      <c r="A250" s="27">
        <v>45955</v>
      </c>
      <c r="B250" s="27">
        <v>45955</v>
      </c>
      <c r="C250" t="s">
        <v>892</v>
      </c>
      <c r="D250" t="s">
        <v>735</v>
      </c>
      <c r="E250" t="s">
        <v>765</v>
      </c>
      <c r="F250" t="s">
        <v>912</v>
      </c>
    </row>
    <row r="251" spans="1:7" x14ac:dyDescent="0.15">
      <c r="A251" s="27">
        <v>45955</v>
      </c>
      <c r="B251" s="27">
        <v>45955</v>
      </c>
      <c r="C251" t="s">
        <v>1256</v>
      </c>
      <c r="D251" t="s">
        <v>741</v>
      </c>
      <c r="E251" t="s">
        <v>734</v>
      </c>
      <c r="F251" t="s">
        <v>885</v>
      </c>
    </row>
    <row r="252" spans="1:7" x14ac:dyDescent="0.15">
      <c r="A252" s="27">
        <v>45955</v>
      </c>
      <c r="B252" s="27">
        <v>45955</v>
      </c>
      <c r="C252" t="s">
        <v>1242</v>
      </c>
      <c r="D252" t="s">
        <v>741</v>
      </c>
      <c r="E252" t="s">
        <v>817</v>
      </c>
      <c r="F252" t="s">
        <v>885</v>
      </c>
    </row>
    <row r="253" spans="1:7" x14ac:dyDescent="0.15">
      <c r="A253" s="27">
        <v>45959</v>
      </c>
      <c r="B253" s="27">
        <v>45962</v>
      </c>
      <c r="C253" t="s">
        <v>806</v>
      </c>
      <c r="D253" t="s">
        <v>734</v>
      </c>
      <c r="F253" t="s">
        <v>768</v>
      </c>
      <c r="G253" t="s">
        <v>769</v>
      </c>
    </row>
    <row r="254" spans="1:7" x14ac:dyDescent="0.15">
      <c r="A254" s="27">
        <v>45959</v>
      </c>
      <c r="B254" s="27">
        <v>45959</v>
      </c>
      <c r="C254" t="s">
        <v>778</v>
      </c>
      <c r="D254" t="s">
        <v>734</v>
      </c>
      <c r="E254" t="s">
        <v>741</v>
      </c>
      <c r="F254" t="s">
        <v>736</v>
      </c>
    </row>
    <row r="255" spans="1:7" x14ac:dyDescent="0.15">
      <c r="A255" s="27">
        <v>45959</v>
      </c>
      <c r="B255" s="27">
        <v>45959</v>
      </c>
      <c r="C255" t="s">
        <v>1248</v>
      </c>
      <c r="D255" t="s">
        <v>741</v>
      </c>
      <c r="E255" t="s">
        <v>734</v>
      </c>
      <c r="F255" t="s">
        <v>885</v>
      </c>
    </row>
    <row r="256" spans="1:7" x14ac:dyDescent="0.15">
      <c r="A256" s="27">
        <v>45964</v>
      </c>
      <c r="B256" s="27">
        <v>45992</v>
      </c>
      <c r="C256" t="s">
        <v>807</v>
      </c>
      <c r="D256" t="s">
        <v>734</v>
      </c>
      <c r="F256" t="s">
        <v>743</v>
      </c>
      <c r="G256" t="s">
        <v>808</v>
      </c>
    </row>
    <row r="257" spans="1:7" x14ac:dyDescent="0.15">
      <c r="A257" s="27">
        <v>45964</v>
      </c>
      <c r="B257" s="27">
        <v>45964</v>
      </c>
      <c r="C257" t="s">
        <v>809</v>
      </c>
      <c r="D257" t="s">
        <v>734</v>
      </c>
      <c r="E257" t="s">
        <v>741</v>
      </c>
      <c r="F257" t="s">
        <v>736</v>
      </c>
    </row>
    <row r="258" spans="1:7" x14ac:dyDescent="0.15">
      <c r="A258" s="27">
        <v>45964</v>
      </c>
      <c r="B258" s="27">
        <v>45964</v>
      </c>
      <c r="C258" t="s">
        <v>810</v>
      </c>
      <c r="D258" t="s">
        <v>734</v>
      </c>
      <c r="E258" t="s">
        <v>811</v>
      </c>
      <c r="F258" t="s">
        <v>812</v>
      </c>
      <c r="G258" t="s">
        <v>813</v>
      </c>
    </row>
    <row r="259" spans="1:7" x14ac:dyDescent="0.15">
      <c r="A259" s="27">
        <v>45964</v>
      </c>
      <c r="B259" s="27">
        <v>45964</v>
      </c>
      <c r="C259" t="s">
        <v>814</v>
      </c>
      <c r="D259" t="s">
        <v>734</v>
      </c>
      <c r="E259" t="s">
        <v>735</v>
      </c>
      <c r="F259" t="s">
        <v>815</v>
      </c>
    </row>
    <row r="260" spans="1:7" x14ac:dyDescent="0.15">
      <c r="A260" s="27">
        <v>45964</v>
      </c>
      <c r="B260" s="27">
        <v>45964</v>
      </c>
      <c r="C260" t="s">
        <v>816</v>
      </c>
      <c r="D260" t="s">
        <v>734</v>
      </c>
      <c r="E260" t="s">
        <v>817</v>
      </c>
      <c r="F260" t="s">
        <v>815</v>
      </c>
    </row>
    <row r="261" spans="1:7" x14ac:dyDescent="0.15">
      <c r="A261" s="27">
        <v>45964</v>
      </c>
      <c r="B261" s="27">
        <v>45964</v>
      </c>
      <c r="C261" t="s">
        <v>869</v>
      </c>
      <c r="D261" t="s">
        <v>735</v>
      </c>
      <c r="E261" t="s">
        <v>734</v>
      </c>
      <c r="F261" t="s">
        <v>885</v>
      </c>
    </row>
    <row r="262" spans="1:7" x14ac:dyDescent="0.15">
      <c r="A262" s="27">
        <v>45964</v>
      </c>
      <c r="B262" s="27">
        <v>45964</v>
      </c>
      <c r="C262" t="s">
        <v>892</v>
      </c>
      <c r="D262" t="s">
        <v>735</v>
      </c>
      <c r="E262" t="s">
        <v>765</v>
      </c>
      <c r="F262" t="s">
        <v>766</v>
      </c>
    </row>
    <row r="263" spans="1:7" x14ac:dyDescent="0.15">
      <c r="A263" s="27">
        <v>45964</v>
      </c>
      <c r="B263" s="27">
        <v>45964</v>
      </c>
      <c r="C263" t="s">
        <v>1003</v>
      </c>
      <c r="D263" t="s">
        <v>735</v>
      </c>
      <c r="E263" t="s">
        <v>795</v>
      </c>
      <c r="F263" t="s">
        <v>796</v>
      </c>
    </row>
    <row r="264" spans="1:7" x14ac:dyDescent="0.15">
      <c r="A264" s="27">
        <v>45964</v>
      </c>
      <c r="B264" s="27">
        <v>45964</v>
      </c>
      <c r="C264" t="s">
        <v>1004</v>
      </c>
      <c r="D264" t="s">
        <v>735</v>
      </c>
      <c r="E264" t="s">
        <v>944</v>
      </c>
      <c r="F264" t="s">
        <v>1005</v>
      </c>
      <c r="G264" t="s">
        <v>1006</v>
      </c>
    </row>
    <row r="265" spans="1:7" x14ac:dyDescent="0.15">
      <c r="A265" s="27">
        <v>45964</v>
      </c>
      <c r="B265" s="27">
        <v>45964</v>
      </c>
      <c r="C265" t="s">
        <v>762</v>
      </c>
      <c r="D265" t="s">
        <v>735</v>
      </c>
      <c r="E265" t="s">
        <v>741</v>
      </c>
      <c r="F265" t="s">
        <v>736</v>
      </c>
    </row>
    <row r="266" spans="1:7" x14ac:dyDescent="0.15">
      <c r="A266" s="27">
        <v>45964</v>
      </c>
      <c r="B266" s="27">
        <v>45964</v>
      </c>
      <c r="C266" t="s">
        <v>1257</v>
      </c>
      <c r="D266" t="s">
        <v>741</v>
      </c>
      <c r="E266" t="s">
        <v>734</v>
      </c>
      <c r="F266" t="s">
        <v>885</v>
      </c>
    </row>
    <row r="267" spans="1:7" x14ac:dyDescent="0.15">
      <c r="A267" s="27">
        <v>45964</v>
      </c>
      <c r="B267" s="27">
        <v>45964</v>
      </c>
      <c r="C267" t="s">
        <v>874</v>
      </c>
      <c r="D267" t="s">
        <v>741</v>
      </c>
      <c r="E267" t="s">
        <v>735</v>
      </c>
      <c r="F267" t="s">
        <v>736</v>
      </c>
    </row>
    <row r="268" spans="1:7" x14ac:dyDescent="0.15">
      <c r="A268" s="27">
        <v>45965</v>
      </c>
      <c r="B268" s="27">
        <v>45992</v>
      </c>
      <c r="C268" t="s">
        <v>818</v>
      </c>
      <c r="D268" t="s">
        <v>734</v>
      </c>
      <c r="F268" t="s">
        <v>784</v>
      </c>
      <c r="G268" t="s">
        <v>819</v>
      </c>
    </row>
    <row r="269" spans="1:7" x14ac:dyDescent="0.15">
      <c r="A269" s="27">
        <v>45965</v>
      </c>
      <c r="B269" s="27">
        <v>45965</v>
      </c>
      <c r="C269" t="s">
        <v>770</v>
      </c>
      <c r="D269" t="s">
        <v>734</v>
      </c>
      <c r="E269" t="s">
        <v>741</v>
      </c>
      <c r="F269" t="s">
        <v>736</v>
      </c>
    </row>
    <row r="270" spans="1:7" x14ac:dyDescent="0.15">
      <c r="A270" s="27">
        <v>45965</v>
      </c>
      <c r="B270" s="27">
        <v>45965</v>
      </c>
      <c r="C270" t="s">
        <v>1247</v>
      </c>
      <c r="D270" t="s">
        <v>741</v>
      </c>
      <c r="E270" t="s">
        <v>734</v>
      </c>
      <c r="F270" t="s">
        <v>885</v>
      </c>
    </row>
    <row r="271" spans="1:7" x14ac:dyDescent="0.15">
      <c r="A271" s="27">
        <v>45967</v>
      </c>
      <c r="B271" s="27">
        <v>45965</v>
      </c>
      <c r="C271" t="s">
        <v>1007</v>
      </c>
      <c r="D271" t="s">
        <v>735</v>
      </c>
      <c r="E271" t="s">
        <v>1008</v>
      </c>
      <c r="F271" t="s">
        <v>1009</v>
      </c>
      <c r="G271" t="s">
        <v>1010</v>
      </c>
    </row>
    <row r="272" spans="1:7" x14ac:dyDescent="0.15">
      <c r="A272" s="27">
        <v>45968</v>
      </c>
      <c r="B272" s="27">
        <v>45992</v>
      </c>
      <c r="C272" t="s">
        <v>820</v>
      </c>
      <c r="D272" t="s">
        <v>734</v>
      </c>
      <c r="F272" t="s">
        <v>803</v>
      </c>
      <c r="G272" t="s">
        <v>804</v>
      </c>
    </row>
    <row r="273" spans="1:7" x14ac:dyDescent="0.15">
      <c r="A273" s="27">
        <v>45968</v>
      </c>
      <c r="B273" s="27">
        <v>45968</v>
      </c>
      <c r="C273" t="s">
        <v>821</v>
      </c>
      <c r="D273" t="s">
        <v>734</v>
      </c>
      <c r="E273" t="s">
        <v>741</v>
      </c>
      <c r="F273" t="s">
        <v>736</v>
      </c>
    </row>
    <row r="274" spans="1:7" x14ac:dyDescent="0.15">
      <c r="A274" s="27">
        <v>45968</v>
      </c>
      <c r="B274" s="27">
        <v>45968</v>
      </c>
      <c r="C274" t="s">
        <v>1245</v>
      </c>
      <c r="D274" t="s">
        <v>741</v>
      </c>
      <c r="E274" t="s">
        <v>734</v>
      </c>
      <c r="F274" t="s">
        <v>885</v>
      </c>
    </row>
    <row r="275" spans="1:7" x14ac:dyDescent="0.15">
      <c r="A275" s="27">
        <v>45969</v>
      </c>
      <c r="B275" s="27">
        <v>45969</v>
      </c>
      <c r="C275" t="s">
        <v>822</v>
      </c>
      <c r="D275" t="s">
        <v>734</v>
      </c>
      <c r="F275" t="s">
        <v>823</v>
      </c>
      <c r="G275" t="s">
        <v>824</v>
      </c>
    </row>
    <row r="276" spans="1:7" x14ac:dyDescent="0.15">
      <c r="A276" s="27">
        <v>45969</v>
      </c>
      <c r="B276" s="27">
        <v>45969</v>
      </c>
      <c r="C276" t="s">
        <v>825</v>
      </c>
      <c r="D276" t="s">
        <v>734</v>
      </c>
      <c r="E276" t="s">
        <v>741</v>
      </c>
      <c r="F276" t="s">
        <v>736</v>
      </c>
    </row>
    <row r="277" spans="1:7" x14ac:dyDescent="0.15">
      <c r="A277" s="27">
        <v>45969</v>
      </c>
      <c r="B277" s="27">
        <v>45969</v>
      </c>
      <c r="C277" t="s">
        <v>892</v>
      </c>
      <c r="D277" t="s">
        <v>735</v>
      </c>
      <c r="E277" t="s">
        <v>765</v>
      </c>
      <c r="F277" t="s">
        <v>912</v>
      </c>
    </row>
    <row r="278" spans="1:7" x14ac:dyDescent="0.15">
      <c r="A278" s="27">
        <v>45969</v>
      </c>
      <c r="B278" s="27">
        <v>45969</v>
      </c>
      <c r="C278" t="s">
        <v>892</v>
      </c>
      <c r="D278" t="s">
        <v>735</v>
      </c>
      <c r="E278" t="s">
        <v>795</v>
      </c>
      <c r="F278" t="s">
        <v>913</v>
      </c>
    </row>
    <row r="279" spans="1:7" x14ac:dyDescent="0.15">
      <c r="A279" s="27">
        <v>45969</v>
      </c>
      <c r="B279" s="27">
        <v>45969</v>
      </c>
      <c r="C279" t="s">
        <v>1011</v>
      </c>
      <c r="D279" t="s">
        <v>735</v>
      </c>
      <c r="E279" t="s">
        <v>918</v>
      </c>
      <c r="F279" t="s">
        <v>1012</v>
      </c>
      <c r="G279" t="s">
        <v>1013</v>
      </c>
    </row>
    <row r="280" spans="1:7" x14ac:dyDescent="0.15">
      <c r="A280" s="27">
        <v>45969</v>
      </c>
      <c r="B280" s="27">
        <v>45969</v>
      </c>
      <c r="C280" t="s">
        <v>1258</v>
      </c>
      <c r="D280" t="s">
        <v>741</v>
      </c>
      <c r="E280" t="s">
        <v>734</v>
      </c>
      <c r="F280" t="s">
        <v>885</v>
      </c>
    </row>
    <row r="281" spans="1:7" x14ac:dyDescent="0.15">
      <c r="A281" s="27">
        <v>45970</v>
      </c>
      <c r="B281" s="27">
        <v>45970</v>
      </c>
      <c r="C281" t="s">
        <v>826</v>
      </c>
      <c r="D281" t="s">
        <v>734</v>
      </c>
      <c r="F281" t="s">
        <v>827</v>
      </c>
      <c r="G281" t="s">
        <v>828</v>
      </c>
    </row>
    <row r="282" spans="1:7" x14ac:dyDescent="0.15">
      <c r="A282" s="27">
        <v>45970</v>
      </c>
      <c r="B282" s="27">
        <v>45970</v>
      </c>
      <c r="C282" t="s">
        <v>829</v>
      </c>
      <c r="D282" t="s">
        <v>734</v>
      </c>
      <c r="E282" t="s">
        <v>741</v>
      </c>
      <c r="F282" t="s">
        <v>736</v>
      </c>
    </row>
    <row r="283" spans="1:7" x14ac:dyDescent="0.15">
      <c r="A283" s="27">
        <v>45970</v>
      </c>
      <c r="B283" s="27">
        <v>45970</v>
      </c>
      <c r="C283" t="s">
        <v>830</v>
      </c>
      <c r="D283" t="s">
        <v>734</v>
      </c>
      <c r="F283" t="s">
        <v>831</v>
      </c>
      <c r="G283" t="s">
        <v>832</v>
      </c>
    </row>
    <row r="284" spans="1:7" x14ac:dyDescent="0.15">
      <c r="A284" s="27">
        <v>45970</v>
      </c>
      <c r="B284" s="27">
        <v>45970</v>
      </c>
      <c r="C284" t="s">
        <v>780</v>
      </c>
      <c r="D284" t="s">
        <v>734</v>
      </c>
      <c r="E284" t="s">
        <v>741</v>
      </c>
      <c r="F284" t="s">
        <v>736</v>
      </c>
    </row>
    <row r="285" spans="1:7" x14ac:dyDescent="0.15">
      <c r="A285" s="27">
        <v>45970</v>
      </c>
      <c r="B285" s="27">
        <v>45970</v>
      </c>
      <c r="C285" t="s">
        <v>833</v>
      </c>
      <c r="D285" t="s">
        <v>734</v>
      </c>
      <c r="F285" t="s">
        <v>834</v>
      </c>
      <c r="G285" t="s">
        <v>835</v>
      </c>
    </row>
    <row r="286" spans="1:7" x14ac:dyDescent="0.15">
      <c r="A286" s="27">
        <v>45970</v>
      </c>
      <c r="B286" s="27">
        <v>45970</v>
      </c>
      <c r="C286" t="s">
        <v>836</v>
      </c>
      <c r="D286" t="s">
        <v>734</v>
      </c>
      <c r="E286" t="s">
        <v>741</v>
      </c>
      <c r="F286" t="s">
        <v>736</v>
      </c>
    </row>
    <row r="287" spans="1:7" x14ac:dyDescent="0.15">
      <c r="A287" s="27">
        <v>45970</v>
      </c>
      <c r="B287" s="27">
        <v>45970</v>
      </c>
      <c r="C287" t="s">
        <v>837</v>
      </c>
      <c r="D287" t="s">
        <v>734</v>
      </c>
      <c r="F287" t="s">
        <v>838</v>
      </c>
      <c r="G287" t="s">
        <v>839</v>
      </c>
    </row>
    <row r="288" spans="1:7" x14ac:dyDescent="0.15">
      <c r="A288" s="27">
        <v>45970</v>
      </c>
      <c r="B288" s="27">
        <v>45970</v>
      </c>
      <c r="C288" t="s">
        <v>780</v>
      </c>
      <c r="D288" t="s">
        <v>734</v>
      </c>
      <c r="E288" t="s">
        <v>741</v>
      </c>
      <c r="F288" t="s">
        <v>736</v>
      </c>
    </row>
    <row r="289" spans="1:7" x14ac:dyDescent="0.15">
      <c r="A289" s="27">
        <v>45970</v>
      </c>
      <c r="B289" s="27">
        <v>45970</v>
      </c>
      <c r="C289" t="s">
        <v>1259</v>
      </c>
      <c r="D289" t="s">
        <v>741</v>
      </c>
      <c r="E289" t="s">
        <v>734</v>
      </c>
      <c r="F289" t="s">
        <v>885</v>
      </c>
    </row>
    <row r="290" spans="1:7" x14ac:dyDescent="0.15">
      <c r="A290" s="27">
        <v>45970</v>
      </c>
      <c r="B290" s="27">
        <v>45970</v>
      </c>
      <c r="C290" t="s">
        <v>1233</v>
      </c>
      <c r="D290" t="s">
        <v>741</v>
      </c>
      <c r="E290" t="s">
        <v>734</v>
      </c>
      <c r="F290" t="s">
        <v>885</v>
      </c>
    </row>
    <row r="291" spans="1:7" x14ac:dyDescent="0.15">
      <c r="A291" s="27">
        <v>45970</v>
      </c>
      <c r="B291" s="27">
        <v>45970</v>
      </c>
      <c r="C291" t="s">
        <v>1237</v>
      </c>
      <c r="D291" t="s">
        <v>741</v>
      </c>
      <c r="E291" t="s">
        <v>734</v>
      </c>
      <c r="F291" t="s">
        <v>885</v>
      </c>
    </row>
    <row r="292" spans="1:7" x14ac:dyDescent="0.15">
      <c r="A292" s="27">
        <v>45970</v>
      </c>
      <c r="B292" s="27">
        <v>45970</v>
      </c>
      <c r="C292" t="s">
        <v>1233</v>
      </c>
      <c r="D292" t="s">
        <v>741</v>
      </c>
      <c r="E292" t="s">
        <v>734</v>
      </c>
      <c r="F292" t="s">
        <v>885</v>
      </c>
    </row>
    <row r="293" spans="1:7" x14ac:dyDescent="0.15">
      <c r="A293" s="27">
        <v>45971</v>
      </c>
      <c r="B293" s="27">
        <v>45992</v>
      </c>
      <c r="C293" t="s">
        <v>763</v>
      </c>
      <c r="D293" t="s">
        <v>734</v>
      </c>
      <c r="F293" t="s">
        <v>760</v>
      </c>
      <c r="G293" t="s">
        <v>801</v>
      </c>
    </row>
    <row r="294" spans="1:7" x14ac:dyDescent="0.15">
      <c r="A294" s="27">
        <v>45971</v>
      </c>
      <c r="B294" s="27">
        <v>45971</v>
      </c>
      <c r="C294" t="s">
        <v>762</v>
      </c>
      <c r="D294" t="s">
        <v>734</v>
      </c>
      <c r="E294" t="s">
        <v>741</v>
      </c>
      <c r="F294" t="s">
        <v>736</v>
      </c>
    </row>
    <row r="295" spans="1:7" x14ac:dyDescent="0.15">
      <c r="A295" s="27">
        <v>45971</v>
      </c>
      <c r="B295" s="27">
        <v>45971</v>
      </c>
      <c r="C295" t="s">
        <v>874</v>
      </c>
      <c r="D295" t="s">
        <v>741</v>
      </c>
      <c r="E295" t="s">
        <v>734</v>
      </c>
      <c r="F295" t="s">
        <v>885</v>
      </c>
    </row>
    <row r="296" spans="1:7" x14ac:dyDescent="0.15">
      <c r="A296" s="27">
        <v>45972</v>
      </c>
      <c r="B296" s="27">
        <v>45972</v>
      </c>
      <c r="C296" t="s">
        <v>840</v>
      </c>
      <c r="D296" t="s">
        <v>734</v>
      </c>
      <c r="F296" t="s">
        <v>841</v>
      </c>
      <c r="G296" t="s">
        <v>842</v>
      </c>
    </row>
    <row r="297" spans="1:7" x14ac:dyDescent="0.15">
      <c r="A297" s="27">
        <v>45972</v>
      </c>
      <c r="B297" s="27">
        <v>45972</v>
      </c>
      <c r="C297" t="s">
        <v>782</v>
      </c>
      <c r="D297" t="s">
        <v>734</v>
      </c>
      <c r="E297" t="s">
        <v>741</v>
      </c>
      <c r="F297" t="s">
        <v>736</v>
      </c>
    </row>
    <row r="298" spans="1:7" x14ac:dyDescent="0.15">
      <c r="A298" s="27">
        <v>45972</v>
      </c>
      <c r="B298" s="27">
        <v>45972</v>
      </c>
      <c r="C298" t="s">
        <v>1014</v>
      </c>
      <c r="D298" t="s">
        <v>735</v>
      </c>
      <c r="F298" t="s">
        <v>827</v>
      </c>
      <c r="G298" t="s">
        <v>828</v>
      </c>
    </row>
    <row r="299" spans="1:7" x14ac:dyDescent="0.15">
      <c r="A299" s="27">
        <v>45972</v>
      </c>
      <c r="B299" s="27">
        <v>45972</v>
      </c>
      <c r="C299" t="s">
        <v>1244</v>
      </c>
      <c r="D299" t="s">
        <v>741</v>
      </c>
      <c r="E299" t="s">
        <v>734</v>
      </c>
      <c r="F299" t="s">
        <v>885</v>
      </c>
    </row>
    <row r="300" spans="1:7" x14ac:dyDescent="0.15">
      <c r="A300" s="27">
        <v>45973</v>
      </c>
      <c r="B300" s="27">
        <v>45973</v>
      </c>
      <c r="C300" t="s">
        <v>843</v>
      </c>
      <c r="D300" t="s">
        <v>734</v>
      </c>
      <c r="F300" t="s">
        <v>844</v>
      </c>
      <c r="G300" t="s">
        <v>845</v>
      </c>
    </row>
    <row r="301" spans="1:7" x14ac:dyDescent="0.15">
      <c r="A301" s="27">
        <v>45973</v>
      </c>
      <c r="B301" s="27">
        <v>45973</v>
      </c>
      <c r="C301" t="s">
        <v>778</v>
      </c>
      <c r="D301" t="s">
        <v>734</v>
      </c>
      <c r="E301" t="s">
        <v>741</v>
      </c>
      <c r="F301" t="s">
        <v>736</v>
      </c>
    </row>
    <row r="302" spans="1:7" x14ac:dyDescent="0.15">
      <c r="A302" s="27">
        <v>45973</v>
      </c>
      <c r="B302" s="27">
        <v>45973</v>
      </c>
      <c r="C302" t="s">
        <v>816</v>
      </c>
      <c r="D302" t="s">
        <v>734</v>
      </c>
      <c r="E302" t="s">
        <v>735</v>
      </c>
      <c r="F302" t="s">
        <v>815</v>
      </c>
    </row>
    <row r="303" spans="1:7" x14ac:dyDescent="0.15">
      <c r="A303" s="27">
        <v>45973</v>
      </c>
      <c r="B303" s="27">
        <v>45973</v>
      </c>
      <c r="C303" t="s">
        <v>846</v>
      </c>
      <c r="D303" t="s">
        <v>734</v>
      </c>
      <c r="F303" t="s">
        <v>751</v>
      </c>
      <c r="G303" t="s">
        <v>752</v>
      </c>
    </row>
    <row r="304" spans="1:7" x14ac:dyDescent="0.15">
      <c r="A304" s="27">
        <v>45973</v>
      </c>
      <c r="B304" s="27">
        <v>45973</v>
      </c>
      <c r="C304" t="s">
        <v>847</v>
      </c>
      <c r="D304" t="s">
        <v>734</v>
      </c>
      <c r="E304" t="s">
        <v>741</v>
      </c>
      <c r="F304" t="s">
        <v>736</v>
      </c>
    </row>
    <row r="305" spans="1:7" x14ac:dyDescent="0.15">
      <c r="A305" s="27">
        <v>45973</v>
      </c>
      <c r="B305" s="27">
        <v>45973</v>
      </c>
      <c r="C305" t="s">
        <v>1015</v>
      </c>
      <c r="D305" t="s">
        <v>735</v>
      </c>
      <c r="E305" t="s">
        <v>734</v>
      </c>
      <c r="F305" t="s">
        <v>885</v>
      </c>
    </row>
    <row r="306" spans="1:7" x14ac:dyDescent="0.15">
      <c r="A306" s="27">
        <v>45973</v>
      </c>
      <c r="B306" s="27">
        <v>45973</v>
      </c>
      <c r="C306" t="s">
        <v>1016</v>
      </c>
      <c r="D306" t="s">
        <v>735</v>
      </c>
      <c r="F306" t="s">
        <v>1017</v>
      </c>
      <c r="G306" t="s">
        <v>1018</v>
      </c>
    </row>
    <row r="307" spans="1:7" x14ac:dyDescent="0.15">
      <c r="A307" s="27">
        <v>45973</v>
      </c>
      <c r="B307" s="27">
        <v>45973</v>
      </c>
      <c r="C307" t="s">
        <v>1248</v>
      </c>
      <c r="D307" t="s">
        <v>741</v>
      </c>
      <c r="E307" t="s">
        <v>734</v>
      </c>
      <c r="F307" t="s">
        <v>885</v>
      </c>
    </row>
    <row r="308" spans="1:7" x14ac:dyDescent="0.15">
      <c r="A308" s="27">
        <v>45973</v>
      </c>
      <c r="B308" s="27">
        <v>45973</v>
      </c>
      <c r="C308" t="s">
        <v>1260</v>
      </c>
      <c r="D308" t="s">
        <v>741</v>
      </c>
      <c r="E308" t="s">
        <v>734</v>
      </c>
      <c r="F308" t="s">
        <v>885</v>
      </c>
    </row>
    <row r="309" spans="1:7" x14ac:dyDescent="0.15">
      <c r="A309" s="27">
        <v>45974</v>
      </c>
      <c r="B309" s="27">
        <v>45974</v>
      </c>
      <c r="C309" t="s">
        <v>848</v>
      </c>
      <c r="D309" t="s">
        <v>734</v>
      </c>
      <c r="F309" t="s">
        <v>849</v>
      </c>
      <c r="G309" t="s">
        <v>850</v>
      </c>
    </row>
    <row r="310" spans="1:7" x14ac:dyDescent="0.15">
      <c r="A310" s="27">
        <v>45974</v>
      </c>
      <c r="B310" s="27">
        <v>45974</v>
      </c>
      <c r="C310" t="s">
        <v>749</v>
      </c>
      <c r="D310" t="s">
        <v>734</v>
      </c>
      <c r="E310" t="s">
        <v>741</v>
      </c>
      <c r="F310" t="s">
        <v>736</v>
      </c>
    </row>
    <row r="311" spans="1:7" x14ac:dyDescent="0.15">
      <c r="A311" s="27">
        <v>45974</v>
      </c>
      <c r="B311" s="27">
        <v>45974</v>
      </c>
      <c r="C311" t="s">
        <v>1231</v>
      </c>
      <c r="D311" t="s">
        <v>741</v>
      </c>
      <c r="E311" t="s">
        <v>734</v>
      </c>
      <c r="F311" t="s">
        <v>885</v>
      </c>
    </row>
    <row r="312" spans="1:7" x14ac:dyDescent="0.15">
      <c r="A312" s="27">
        <v>45975</v>
      </c>
      <c r="B312" s="27">
        <v>45992</v>
      </c>
      <c r="C312" t="s">
        <v>851</v>
      </c>
      <c r="D312" t="s">
        <v>734</v>
      </c>
      <c r="F312" t="s">
        <v>803</v>
      </c>
      <c r="G312" t="s">
        <v>804</v>
      </c>
    </row>
    <row r="313" spans="1:7" x14ac:dyDescent="0.15">
      <c r="A313" s="27">
        <v>45975</v>
      </c>
      <c r="B313" s="27">
        <v>45975</v>
      </c>
      <c r="C313" t="s">
        <v>852</v>
      </c>
      <c r="D313" t="s">
        <v>734</v>
      </c>
      <c r="E313" t="s">
        <v>741</v>
      </c>
      <c r="F313" t="s">
        <v>736</v>
      </c>
    </row>
    <row r="314" spans="1:7" x14ac:dyDescent="0.15">
      <c r="A314" s="27">
        <v>45975</v>
      </c>
      <c r="B314" s="27">
        <v>45975</v>
      </c>
      <c r="C314" t="s">
        <v>1019</v>
      </c>
      <c r="D314" t="s">
        <v>735</v>
      </c>
      <c r="E314" t="s">
        <v>918</v>
      </c>
      <c r="F314" t="s">
        <v>1020</v>
      </c>
      <c r="G314" t="s">
        <v>1021</v>
      </c>
    </row>
    <row r="315" spans="1:7" x14ac:dyDescent="0.15">
      <c r="A315" s="27">
        <v>45975</v>
      </c>
      <c r="B315" s="27">
        <v>45975</v>
      </c>
      <c r="C315" t="s">
        <v>859</v>
      </c>
      <c r="D315" t="s">
        <v>735</v>
      </c>
      <c r="E315" t="s">
        <v>741</v>
      </c>
      <c r="F315" t="s">
        <v>736</v>
      </c>
    </row>
    <row r="316" spans="1:7" x14ac:dyDescent="0.15">
      <c r="A316" s="27">
        <v>45975</v>
      </c>
      <c r="B316" s="27">
        <v>45975</v>
      </c>
      <c r="C316" t="s">
        <v>1022</v>
      </c>
      <c r="D316" t="s">
        <v>735</v>
      </c>
      <c r="E316" t="s">
        <v>918</v>
      </c>
      <c r="F316" t="s">
        <v>1020</v>
      </c>
      <c r="G316" t="s">
        <v>1023</v>
      </c>
    </row>
    <row r="317" spans="1:7" x14ac:dyDescent="0.15">
      <c r="A317" s="27">
        <v>45975</v>
      </c>
      <c r="B317" s="27">
        <v>45975</v>
      </c>
      <c r="C317" t="s">
        <v>1024</v>
      </c>
      <c r="D317" t="s">
        <v>735</v>
      </c>
      <c r="E317" t="s">
        <v>741</v>
      </c>
      <c r="F317" t="s">
        <v>736</v>
      </c>
    </row>
    <row r="318" spans="1:7" x14ac:dyDescent="0.15">
      <c r="A318" s="27">
        <v>45975</v>
      </c>
      <c r="B318" s="27">
        <v>45975</v>
      </c>
      <c r="C318" t="s">
        <v>1261</v>
      </c>
      <c r="D318" t="s">
        <v>741</v>
      </c>
      <c r="E318" t="s">
        <v>734</v>
      </c>
      <c r="F318" t="s">
        <v>885</v>
      </c>
    </row>
    <row r="319" spans="1:7" x14ac:dyDescent="0.15">
      <c r="A319" s="27">
        <v>45975</v>
      </c>
      <c r="B319" s="27">
        <v>45975</v>
      </c>
      <c r="C319" t="s">
        <v>1262</v>
      </c>
      <c r="D319" t="s">
        <v>741</v>
      </c>
      <c r="E319" t="s">
        <v>735</v>
      </c>
      <c r="F319" t="s">
        <v>736</v>
      </c>
    </row>
    <row r="320" spans="1:7" x14ac:dyDescent="0.15">
      <c r="A320" s="27">
        <v>45975</v>
      </c>
      <c r="B320" s="27">
        <v>45975</v>
      </c>
      <c r="C320" t="s">
        <v>1263</v>
      </c>
      <c r="D320" t="s">
        <v>741</v>
      </c>
      <c r="E320" t="s">
        <v>735</v>
      </c>
      <c r="F320" t="s">
        <v>736</v>
      </c>
    </row>
    <row r="321" spans="1:7" x14ac:dyDescent="0.15">
      <c r="A321" s="27">
        <v>45976</v>
      </c>
      <c r="B321" s="27">
        <v>45976</v>
      </c>
      <c r="C321" t="s">
        <v>853</v>
      </c>
      <c r="D321" t="s">
        <v>734</v>
      </c>
      <c r="F321" t="s">
        <v>854</v>
      </c>
      <c r="G321" t="s">
        <v>855</v>
      </c>
    </row>
    <row r="322" spans="1:7" x14ac:dyDescent="0.15">
      <c r="A322" s="27">
        <v>45976</v>
      </c>
      <c r="B322" s="27">
        <v>45976</v>
      </c>
      <c r="C322" t="s">
        <v>749</v>
      </c>
      <c r="D322" t="s">
        <v>734</v>
      </c>
      <c r="E322" t="s">
        <v>741</v>
      </c>
      <c r="F322" t="s">
        <v>736</v>
      </c>
    </row>
    <row r="323" spans="1:7" x14ac:dyDescent="0.15">
      <c r="A323" s="27">
        <v>45976</v>
      </c>
      <c r="B323" s="27">
        <v>45976</v>
      </c>
      <c r="C323" t="s">
        <v>856</v>
      </c>
      <c r="D323" t="s">
        <v>734</v>
      </c>
      <c r="F323" t="s">
        <v>857</v>
      </c>
      <c r="G323" t="s">
        <v>858</v>
      </c>
    </row>
    <row r="324" spans="1:7" x14ac:dyDescent="0.15">
      <c r="A324" s="27">
        <v>45976</v>
      </c>
      <c r="B324" s="27">
        <v>45976</v>
      </c>
      <c r="C324" t="s">
        <v>859</v>
      </c>
      <c r="D324" t="s">
        <v>734</v>
      </c>
      <c r="E324" t="s">
        <v>741</v>
      </c>
      <c r="F324" t="s">
        <v>736</v>
      </c>
    </row>
    <row r="325" spans="1:7" x14ac:dyDescent="0.15">
      <c r="A325" s="27">
        <v>45976</v>
      </c>
      <c r="B325" s="27">
        <v>45976</v>
      </c>
      <c r="C325" t="s">
        <v>892</v>
      </c>
      <c r="D325" t="s">
        <v>735</v>
      </c>
      <c r="E325" t="s">
        <v>765</v>
      </c>
      <c r="F325" t="s">
        <v>912</v>
      </c>
    </row>
    <row r="326" spans="1:7" x14ac:dyDescent="0.15">
      <c r="A326" s="27">
        <v>45976</v>
      </c>
      <c r="B326" s="27">
        <v>45976</v>
      </c>
      <c r="C326" t="s">
        <v>892</v>
      </c>
      <c r="D326" t="s">
        <v>735</v>
      </c>
      <c r="E326" t="s">
        <v>795</v>
      </c>
      <c r="F326" t="s">
        <v>913</v>
      </c>
    </row>
    <row r="327" spans="1:7" x14ac:dyDescent="0.15">
      <c r="A327" s="27">
        <v>45976</v>
      </c>
      <c r="B327" s="27">
        <v>45976</v>
      </c>
      <c r="C327" t="s">
        <v>1025</v>
      </c>
      <c r="D327" t="s">
        <v>735</v>
      </c>
      <c r="F327" t="s">
        <v>1017</v>
      </c>
      <c r="G327" t="s">
        <v>1018</v>
      </c>
    </row>
    <row r="328" spans="1:7" x14ac:dyDescent="0.15">
      <c r="A328" s="27">
        <v>45976</v>
      </c>
      <c r="B328" s="27">
        <v>45976</v>
      </c>
      <c r="C328" t="s">
        <v>1231</v>
      </c>
      <c r="D328" t="s">
        <v>741</v>
      </c>
      <c r="E328" t="s">
        <v>734</v>
      </c>
      <c r="F328" t="s">
        <v>885</v>
      </c>
    </row>
    <row r="329" spans="1:7" x14ac:dyDescent="0.15">
      <c r="A329" s="27">
        <v>45976</v>
      </c>
      <c r="B329" s="27">
        <v>45976</v>
      </c>
      <c r="C329" t="s">
        <v>1262</v>
      </c>
      <c r="D329" t="s">
        <v>741</v>
      </c>
      <c r="E329" t="s">
        <v>734</v>
      </c>
      <c r="F329" t="s">
        <v>885</v>
      </c>
    </row>
    <row r="330" spans="1:7" x14ac:dyDescent="0.15">
      <c r="A330" s="27">
        <v>45978</v>
      </c>
      <c r="B330" s="27">
        <v>45992</v>
      </c>
      <c r="C330" t="s">
        <v>759</v>
      </c>
      <c r="D330" t="s">
        <v>734</v>
      </c>
      <c r="F330" t="s">
        <v>760</v>
      </c>
      <c r="G330" t="s">
        <v>801</v>
      </c>
    </row>
    <row r="331" spans="1:7" x14ac:dyDescent="0.15">
      <c r="A331" s="27">
        <v>45978</v>
      </c>
      <c r="B331" s="27">
        <v>45978</v>
      </c>
      <c r="C331" t="s">
        <v>762</v>
      </c>
      <c r="D331" t="s">
        <v>734</v>
      </c>
      <c r="E331" t="s">
        <v>741</v>
      </c>
      <c r="F331" t="s">
        <v>736</v>
      </c>
    </row>
    <row r="332" spans="1:7" x14ac:dyDescent="0.15">
      <c r="A332" s="27">
        <v>45978</v>
      </c>
      <c r="B332" s="27">
        <v>45978</v>
      </c>
      <c r="C332" t="s">
        <v>874</v>
      </c>
      <c r="D332" t="s">
        <v>741</v>
      </c>
      <c r="E332" t="s">
        <v>734</v>
      </c>
      <c r="F332" t="s">
        <v>885</v>
      </c>
    </row>
    <row r="333" spans="1:7" x14ac:dyDescent="0.15">
      <c r="A333" s="27">
        <v>45979</v>
      </c>
      <c r="B333" s="27">
        <v>45979</v>
      </c>
      <c r="C333" t="s">
        <v>1026</v>
      </c>
      <c r="D333" t="s">
        <v>735</v>
      </c>
      <c r="E333" t="s">
        <v>929</v>
      </c>
      <c r="F333" t="s">
        <v>990</v>
      </c>
      <c r="G333" t="s">
        <v>1027</v>
      </c>
    </row>
    <row r="334" spans="1:7" x14ac:dyDescent="0.15">
      <c r="A334" s="27">
        <v>45980</v>
      </c>
      <c r="B334" s="27">
        <v>45980</v>
      </c>
      <c r="C334" t="s">
        <v>1028</v>
      </c>
      <c r="D334" t="s">
        <v>735</v>
      </c>
      <c r="F334" t="s">
        <v>849</v>
      </c>
      <c r="G334" t="s">
        <v>850</v>
      </c>
    </row>
    <row r="335" spans="1:7" x14ac:dyDescent="0.15">
      <c r="A335" s="27">
        <v>45981</v>
      </c>
      <c r="B335" s="27">
        <v>45981</v>
      </c>
      <c r="C335" t="s">
        <v>1029</v>
      </c>
      <c r="D335" t="s">
        <v>735</v>
      </c>
      <c r="E335" t="s">
        <v>811</v>
      </c>
      <c r="F335" t="s">
        <v>812</v>
      </c>
      <c r="G335" t="s">
        <v>1030</v>
      </c>
    </row>
    <row r="336" spans="1:7" x14ac:dyDescent="0.15">
      <c r="A336" s="27">
        <v>45981</v>
      </c>
      <c r="B336" s="27">
        <v>45979</v>
      </c>
      <c r="C336" t="s">
        <v>1031</v>
      </c>
      <c r="D336" t="s">
        <v>735</v>
      </c>
      <c r="E336" t="s">
        <v>1008</v>
      </c>
      <c r="F336" t="s">
        <v>1009</v>
      </c>
      <c r="G336" t="s">
        <v>1032</v>
      </c>
    </row>
    <row r="337" spans="1:7" x14ac:dyDescent="0.15">
      <c r="A337" s="27">
        <v>45981</v>
      </c>
      <c r="B337" s="27">
        <v>45981</v>
      </c>
      <c r="C337" t="s">
        <v>825</v>
      </c>
      <c r="D337" t="s">
        <v>735</v>
      </c>
      <c r="E337" t="s">
        <v>741</v>
      </c>
      <c r="F337" t="s">
        <v>736</v>
      </c>
    </row>
    <row r="338" spans="1:7" x14ac:dyDescent="0.15">
      <c r="A338" s="27">
        <v>45981</v>
      </c>
      <c r="B338" s="27">
        <v>45981</v>
      </c>
      <c r="C338" t="s">
        <v>1033</v>
      </c>
      <c r="D338" t="s">
        <v>735</v>
      </c>
      <c r="E338" t="s">
        <v>1034</v>
      </c>
      <c r="F338" t="s">
        <v>1035</v>
      </c>
      <c r="G338" t="s">
        <v>1036</v>
      </c>
    </row>
    <row r="339" spans="1:7" x14ac:dyDescent="0.15">
      <c r="A339" s="27">
        <v>45981</v>
      </c>
      <c r="B339" s="27">
        <v>45981</v>
      </c>
      <c r="C339" t="s">
        <v>1258</v>
      </c>
      <c r="D339" t="s">
        <v>741</v>
      </c>
      <c r="E339" t="s">
        <v>735</v>
      </c>
      <c r="F339" t="s">
        <v>736</v>
      </c>
    </row>
    <row r="340" spans="1:7" x14ac:dyDescent="0.15">
      <c r="A340" s="27">
        <v>45982</v>
      </c>
      <c r="B340" s="27">
        <v>45992</v>
      </c>
      <c r="C340" t="s">
        <v>860</v>
      </c>
      <c r="D340" t="s">
        <v>734</v>
      </c>
      <c r="F340" t="s">
        <v>803</v>
      </c>
      <c r="G340" t="s">
        <v>804</v>
      </c>
    </row>
    <row r="341" spans="1:7" x14ac:dyDescent="0.15">
      <c r="A341" s="27">
        <v>45982</v>
      </c>
      <c r="B341" s="27">
        <v>45982</v>
      </c>
      <c r="C341" t="s">
        <v>861</v>
      </c>
      <c r="D341" t="s">
        <v>734</v>
      </c>
      <c r="E341" t="s">
        <v>741</v>
      </c>
      <c r="F341" t="s">
        <v>736</v>
      </c>
    </row>
    <row r="342" spans="1:7" x14ac:dyDescent="0.15">
      <c r="A342" s="27">
        <v>45982</v>
      </c>
      <c r="B342" s="27">
        <v>45982</v>
      </c>
      <c r="C342" t="s">
        <v>1037</v>
      </c>
      <c r="D342" t="s">
        <v>735</v>
      </c>
      <c r="E342" t="s">
        <v>929</v>
      </c>
      <c r="F342" t="s">
        <v>1038</v>
      </c>
      <c r="G342" t="s">
        <v>1039</v>
      </c>
    </row>
    <row r="343" spans="1:7" x14ac:dyDescent="0.15">
      <c r="A343" s="27">
        <v>45982</v>
      </c>
      <c r="B343" s="27">
        <v>45982</v>
      </c>
      <c r="C343" t="s">
        <v>1264</v>
      </c>
      <c r="D343" t="s">
        <v>741</v>
      </c>
      <c r="E343" t="s">
        <v>734</v>
      </c>
      <c r="F343" t="s">
        <v>885</v>
      </c>
    </row>
    <row r="344" spans="1:7" x14ac:dyDescent="0.15">
      <c r="A344" s="27">
        <v>45983</v>
      </c>
      <c r="B344" s="27">
        <v>45983</v>
      </c>
      <c r="C344" t="s">
        <v>892</v>
      </c>
      <c r="D344" t="s">
        <v>735</v>
      </c>
      <c r="E344" t="s">
        <v>765</v>
      </c>
      <c r="F344" t="s">
        <v>912</v>
      </c>
    </row>
    <row r="345" spans="1:7" x14ac:dyDescent="0.15">
      <c r="A345" s="27">
        <v>45983</v>
      </c>
      <c r="B345" s="27">
        <v>45983</v>
      </c>
      <c r="C345" t="s">
        <v>892</v>
      </c>
      <c r="D345" t="s">
        <v>735</v>
      </c>
      <c r="E345" t="s">
        <v>795</v>
      </c>
      <c r="F345" t="s">
        <v>913</v>
      </c>
    </row>
    <row r="346" spans="1:7" x14ac:dyDescent="0.15">
      <c r="A346" s="27">
        <v>45984</v>
      </c>
      <c r="B346" s="27">
        <v>45984</v>
      </c>
      <c r="C346" t="s">
        <v>1040</v>
      </c>
      <c r="D346" t="s">
        <v>735</v>
      </c>
      <c r="F346" t="s">
        <v>1041</v>
      </c>
      <c r="G346" t="s">
        <v>1042</v>
      </c>
    </row>
    <row r="347" spans="1:7" x14ac:dyDescent="0.15">
      <c r="A347" s="27">
        <v>45984</v>
      </c>
      <c r="B347" s="27">
        <v>45984</v>
      </c>
      <c r="C347" t="s">
        <v>1043</v>
      </c>
      <c r="D347" t="s">
        <v>735</v>
      </c>
      <c r="E347" t="s">
        <v>741</v>
      </c>
      <c r="F347" t="s">
        <v>736</v>
      </c>
    </row>
    <row r="348" spans="1:7" x14ac:dyDescent="0.15">
      <c r="A348" s="27">
        <v>45984</v>
      </c>
      <c r="B348" s="27">
        <v>45984</v>
      </c>
      <c r="C348" t="s">
        <v>1265</v>
      </c>
      <c r="D348" t="s">
        <v>741</v>
      </c>
      <c r="E348" t="s">
        <v>735</v>
      </c>
      <c r="F348" t="s">
        <v>736</v>
      </c>
    </row>
    <row r="349" spans="1:7" x14ac:dyDescent="0.15">
      <c r="A349" s="27">
        <v>45985</v>
      </c>
      <c r="B349" s="27">
        <v>45985</v>
      </c>
      <c r="C349" t="s">
        <v>797</v>
      </c>
      <c r="D349" t="s">
        <v>735</v>
      </c>
      <c r="E349" t="s">
        <v>1044</v>
      </c>
      <c r="F349" t="s">
        <v>799</v>
      </c>
      <c r="G349" t="s">
        <v>1045</v>
      </c>
    </row>
    <row r="350" spans="1:7" x14ac:dyDescent="0.15">
      <c r="A350" s="27">
        <v>45985</v>
      </c>
      <c r="B350" s="27">
        <v>45985</v>
      </c>
      <c r="C350" t="s">
        <v>762</v>
      </c>
      <c r="D350" t="s">
        <v>735</v>
      </c>
      <c r="E350" t="s">
        <v>741</v>
      </c>
      <c r="F350" t="s">
        <v>736</v>
      </c>
    </row>
    <row r="351" spans="1:7" x14ac:dyDescent="0.15">
      <c r="A351" s="27">
        <v>45985</v>
      </c>
      <c r="B351" s="27">
        <v>45985</v>
      </c>
      <c r="C351" t="s">
        <v>937</v>
      </c>
      <c r="D351" t="s">
        <v>735</v>
      </c>
      <c r="E351" t="s">
        <v>918</v>
      </c>
      <c r="F351" t="s">
        <v>919</v>
      </c>
      <c r="G351" t="s">
        <v>1046</v>
      </c>
    </row>
    <row r="352" spans="1:7" x14ac:dyDescent="0.15">
      <c r="A352" s="27">
        <v>45985</v>
      </c>
      <c r="B352" s="27">
        <v>45985</v>
      </c>
      <c r="C352" t="s">
        <v>874</v>
      </c>
      <c r="D352" t="s">
        <v>741</v>
      </c>
      <c r="E352" t="s">
        <v>735</v>
      </c>
      <c r="F352" t="s">
        <v>736</v>
      </c>
    </row>
    <row r="353" spans="1:7" x14ac:dyDescent="0.15">
      <c r="A353" s="27">
        <v>45986</v>
      </c>
      <c r="B353" s="27">
        <v>45992</v>
      </c>
      <c r="C353" t="s">
        <v>862</v>
      </c>
      <c r="D353" t="s">
        <v>734</v>
      </c>
      <c r="F353" t="s">
        <v>768</v>
      </c>
      <c r="G353" t="s">
        <v>769</v>
      </c>
    </row>
    <row r="354" spans="1:7" x14ac:dyDescent="0.15">
      <c r="A354" s="27">
        <v>45986</v>
      </c>
      <c r="B354" s="27">
        <v>45986</v>
      </c>
      <c r="C354" t="s">
        <v>863</v>
      </c>
      <c r="D354" t="s">
        <v>734</v>
      </c>
      <c r="E354" t="s">
        <v>741</v>
      </c>
      <c r="F354" t="s">
        <v>736</v>
      </c>
    </row>
    <row r="355" spans="1:7" x14ac:dyDescent="0.15">
      <c r="A355" s="27">
        <v>45986</v>
      </c>
      <c r="B355" s="27">
        <v>45986</v>
      </c>
      <c r="C355" t="s">
        <v>1266</v>
      </c>
      <c r="D355" t="s">
        <v>741</v>
      </c>
      <c r="E355" t="s">
        <v>734</v>
      </c>
      <c r="F355" t="s">
        <v>885</v>
      </c>
    </row>
    <row r="356" spans="1:7" x14ac:dyDescent="0.15">
      <c r="A356" s="27">
        <v>45987</v>
      </c>
      <c r="B356" s="27">
        <v>45987</v>
      </c>
      <c r="C356" t="s">
        <v>1233</v>
      </c>
      <c r="D356" t="s">
        <v>741</v>
      </c>
      <c r="E356" t="s">
        <v>817</v>
      </c>
      <c r="F356" t="s">
        <v>885</v>
      </c>
    </row>
    <row r="357" spans="1:7" x14ac:dyDescent="0.15">
      <c r="A357" s="27">
        <v>45988</v>
      </c>
      <c r="B357" s="27">
        <v>45992</v>
      </c>
      <c r="C357" t="s">
        <v>864</v>
      </c>
      <c r="D357" t="s">
        <v>734</v>
      </c>
      <c r="F357" t="s">
        <v>803</v>
      </c>
      <c r="G357" t="s">
        <v>804</v>
      </c>
    </row>
    <row r="358" spans="1:7" x14ac:dyDescent="0.15">
      <c r="A358" s="27">
        <v>45988</v>
      </c>
      <c r="B358" s="27">
        <v>45988</v>
      </c>
      <c r="C358" t="s">
        <v>865</v>
      </c>
      <c r="D358" t="s">
        <v>734</v>
      </c>
      <c r="E358" t="s">
        <v>741</v>
      </c>
      <c r="F358" t="s">
        <v>736</v>
      </c>
    </row>
    <row r="359" spans="1:7" x14ac:dyDescent="0.15">
      <c r="A359" s="27">
        <v>45988</v>
      </c>
      <c r="B359" s="27">
        <v>45988</v>
      </c>
      <c r="C359" t="s">
        <v>1267</v>
      </c>
      <c r="D359" t="s">
        <v>741</v>
      </c>
      <c r="E359" t="s">
        <v>734</v>
      </c>
      <c r="F359" t="s">
        <v>885</v>
      </c>
    </row>
    <row r="360" spans="1:7" x14ac:dyDescent="0.15">
      <c r="A360" s="27">
        <v>45990</v>
      </c>
      <c r="B360" s="27">
        <v>45990</v>
      </c>
      <c r="C360" t="s">
        <v>892</v>
      </c>
      <c r="D360" t="s">
        <v>735</v>
      </c>
      <c r="E360" t="s">
        <v>765</v>
      </c>
      <c r="F360" t="s">
        <v>912</v>
      </c>
    </row>
    <row r="361" spans="1:7" x14ac:dyDescent="0.15">
      <c r="A361" s="27">
        <v>45990</v>
      </c>
      <c r="B361" s="27">
        <v>45990</v>
      </c>
      <c r="C361" t="s">
        <v>892</v>
      </c>
      <c r="D361" t="s">
        <v>735</v>
      </c>
      <c r="E361" t="s">
        <v>795</v>
      </c>
      <c r="F361" t="s">
        <v>913</v>
      </c>
    </row>
    <row r="362" spans="1:7" x14ac:dyDescent="0.15">
      <c r="A362" s="27">
        <v>45994</v>
      </c>
      <c r="B362" s="27">
        <v>46023</v>
      </c>
      <c r="C362" t="s">
        <v>866</v>
      </c>
      <c r="D362" t="s">
        <v>734</v>
      </c>
      <c r="F362" t="s">
        <v>743</v>
      </c>
      <c r="G362" t="s">
        <v>867</v>
      </c>
    </row>
    <row r="363" spans="1:7" x14ac:dyDescent="0.15">
      <c r="A363" s="27">
        <v>45994</v>
      </c>
      <c r="B363" s="27">
        <v>45994</v>
      </c>
      <c r="C363" t="s">
        <v>868</v>
      </c>
      <c r="D363" t="s">
        <v>734</v>
      </c>
      <c r="E363" t="s">
        <v>741</v>
      </c>
      <c r="F363" t="s">
        <v>736</v>
      </c>
    </row>
    <row r="364" spans="1:7" x14ac:dyDescent="0.15">
      <c r="A364" s="27">
        <v>45994</v>
      </c>
      <c r="B364" s="27">
        <v>45994</v>
      </c>
      <c r="C364" t="s">
        <v>1268</v>
      </c>
      <c r="D364" t="s">
        <v>741</v>
      </c>
      <c r="E364" t="s">
        <v>734</v>
      </c>
      <c r="F364" t="s">
        <v>885</v>
      </c>
    </row>
    <row r="365" spans="1:7" x14ac:dyDescent="0.15">
      <c r="A365" s="27">
        <v>45997</v>
      </c>
      <c r="B365" s="27">
        <v>45997</v>
      </c>
      <c r="C365" t="s">
        <v>869</v>
      </c>
      <c r="D365" t="s">
        <v>734</v>
      </c>
      <c r="E365" t="s">
        <v>811</v>
      </c>
      <c r="F365" t="s">
        <v>812</v>
      </c>
      <c r="G365" t="s">
        <v>870</v>
      </c>
    </row>
    <row r="366" spans="1:7" x14ac:dyDescent="0.15">
      <c r="A366" s="27">
        <v>45997</v>
      </c>
      <c r="B366" s="27">
        <v>45997</v>
      </c>
      <c r="C366" t="s">
        <v>871</v>
      </c>
      <c r="D366" t="s">
        <v>734</v>
      </c>
      <c r="E366" t="s">
        <v>735</v>
      </c>
      <c r="F366" t="s">
        <v>815</v>
      </c>
    </row>
    <row r="367" spans="1:7" x14ac:dyDescent="0.15">
      <c r="A367" s="27">
        <v>45997</v>
      </c>
      <c r="B367" s="27">
        <v>45997</v>
      </c>
      <c r="C367" t="s">
        <v>816</v>
      </c>
      <c r="D367" t="s">
        <v>734</v>
      </c>
      <c r="E367" t="s">
        <v>817</v>
      </c>
      <c r="F367" t="s">
        <v>815</v>
      </c>
    </row>
    <row r="368" spans="1:7" x14ac:dyDescent="0.15">
      <c r="A368" s="27">
        <v>45997</v>
      </c>
      <c r="B368" s="27">
        <v>45997</v>
      </c>
      <c r="C368" t="s">
        <v>872</v>
      </c>
      <c r="D368" t="s">
        <v>734</v>
      </c>
      <c r="E368" t="s">
        <v>795</v>
      </c>
      <c r="F368" t="s">
        <v>796</v>
      </c>
    </row>
    <row r="369" spans="1:7" x14ac:dyDescent="0.15">
      <c r="A369" s="27">
        <v>45997</v>
      </c>
      <c r="B369" s="27">
        <v>45997</v>
      </c>
      <c r="C369" t="s">
        <v>1047</v>
      </c>
      <c r="D369" t="s">
        <v>735</v>
      </c>
      <c r="E369" t="s">
        <v>734</v>
      </c>
      <c r="F369" t="s">
        <v>885</v>
      </c>
    </row>
    <row r="370" spans="1:7" x14ac:dyDescent="0.15">
      <c r="A370" s="27">
        <v>45997</v>
      </c>
      <c r="B370" s="27">
        <v>45997</v>
      </c>
      <c r="C370" t="s">
        <v>892</v>
      </c>
      <c r="D370" t="s">
        <v>735</v>
      </c>
      <c r="E370" t="s">
        <v>765</v>
      </c>
      <c r="F370" t="s">
        <v>912</v>
      </c>
    </row>
    <row r="371" spans="1:7" x14ac:dyDescent="0.15">
      <c r="A371" s="27">
        <v>45997</v>
      </c>
      <c r="B371" s="27">
        <v>45995</v>
      </c>
      <c r="C371" t="s">
        <v>1048</v>
      </c>
      <c r="D371" t="s">
        <v>735</v>
      </c>
      <c r="E371" t="s">
        <v>1008</v>
      </c>
      <c r="F371" t="s">
        <v>1009</v>
      </c>
      <c r="G371" t="s">
        <v>1049</v>
      </c>
    </row>
    <row r="372" spans="1:7" x14ac:dyDescent="0.15">
      <c r="A372" s="27">
        <v>45997</v>
      </c>
      <c r="B372" s="27">
        <v>45997</v>
      </c>
      <c r="C372" t="s">
        <v>937</v>
      </c>
      <c r="D372" t="s">
        <v>735</v>
      </c>
      <c r="E372" t="s">
        <v>741</v>
      </c>
      <c r="F372" t="s">
        <v>736</v>
      </c>
    </row>
    <row r="373" spans="1:7" x14ac:dyDescent="0.15">
      <c r="A373" s="27">
        <v>45997</v>
      </c>
      <c r="B373" s="27">
        <v>45996</v>
      </c>
      <c r="C373" t="s">
        <v>1050</v>
      </c>
      <c r="D373" t="s">
        <v>735</v>
      </c>
      <c r="E373" t="s">
        <v>1008</v>
      </c>
      <c r="F373" t="s">
        <v>1009</v>
      </c>
      <c r="G373" t="s">
        <v>1010</v>
      </c>
    </row>
    <row r="374" spans="1:7" x14ac:dyDescent="0.15">
      <c r="A374" s="27">
        <v>45997</v>
      </c>
      <c r="B374" s="27">
        <v>45997</v>
      </c>
      <c r="C374" t="s">
        <v>786</v>
      </c>
      <c r="D374" t="s">
        <v>735</v>
      </c>
      <c r="E374" t="s">
        <v>741</v>
      </c>
      <c r="F374" t="s">
        <v>736</v>
      </c>
    </row>
    <row r="375" spans="1:7" x14ac:dyDescent="0.15">
      <c r="A375" s="27">
        <v>45997</v>
      </c>
      <c r="B375" s="27">
        <v>45997</v>
      </c>
      <c r="C375" t="s">
        <v>892</v>
      </c>
      <c r="D375" t="s">
        <v>735</v>
      </c>
      <c r="E375" t="s">
        <v>795</v>
      </c>
      <c r="F375" t="s">
        <v>913</v>
      </c>
    </row>
    <row r="376" spans="1:7" x14ac:dyDescent="0.15">
      <c r="A376" s="27">
        <v>45997</v>
      </c>
      <c r="B376" s="27">
        <v>45997</v>
      </c>
      <c r="C376" t="s">
        <v>837</v>
      </c>
      <c r="D376" t="s">
        <v>735</v>
      </c>
      <c r="F376" t="s">
        <v>903</v>
      </c>
      <c r="G376" t="s">
        <v>904</v>
      </c>
    </row>
    <row r="377" spans="1:7" x14ac:dyDescent="0.15">
      <c r="A377" s="27">
        <v>45997</v>
      </c>
      <c r="B377" s="27">
        <v>45997</v>
      </c>
      <c r="C377" t="s">
        <v>780</v>
      </c>
      <c r="D377" t="s">
        <v>735</v>
      </c>
      <c r="E377" t="s">
        <v>741</v>
      </c>
      <c r="F377" t="s">
        <v>736</v>
      </c>
    </row>
    <row r="378" spans="1:7" x14ac:dyDescent="0.15">
      <c r="A378" s="27">
        <v>45997</v>
      </c>
      <c r="B378" s="27">
        <v>45997</v>
      </c>
      <c r="C378" t="s">
        <v>1239</v>
      </c>
      <c r="D378" t="s">
        <v>741</v>
      </c>
      <c r="E378" t="s">
        <v>735</v>
      </c>
      <c r="F378" t="s">
        <v>736</v>
      </c>
    </row>
    <row r="379" spans="1:7" x14ac:dyDescent="0.15">
      <c r="A379" s="27">
        <v>45997</v>
      </c>
      <c r="B379" s="27">
        <v>45997</v>
      </c>
      <c r="C379" t="s">
        <v>1249</v>
      </c>
      <c r="D379" t="s">
        <v>741</v>
      </c>
      <c r="E379" t="s">
        <v>735</v>
      </c>
      <c r="F379" t="s">
        <v>736</v>
      </c>
    </row>
    <row r="380" spans="1:7" x14ac:dyDescent="0.15">
      <c r="A380" s="27">
        <v>45997</v>
      </c>
      <c r="B380" s="27">
        <v>45997</v>
      </c>
      <c r="C380" t="s">
        <v>1233</v>
      </c>
      <c r="D380" t="s">
        <v>741</v>
      </c>
      <c r="E380" t="s">
        <v>735</v>
      </c>
      <c r="F380" t="s">
        <v>736</v>
      </c>
    </row>
    <row r="381" spans="1:7" x14ac:dyDescent="0.15">
      <c r="A381" s="27">
        <v>45999</v>
      </c>
      <c r="B381" s="27">
        <v>45999</v>
      </c>
      <c r="C381" t="s">
        <v>873</v>
      </c>
      <c r="D381" t="s">
        <v>734</v>
      </c>
      <c r="E381" t="s">
        <v>795</v>
      </c>
      <c r="F381" t="s">
        <v>796</v>
      </c>
    </row>
    <row r="382" spans="1:7" x14ac:dyDescent="0.15">
      <c r="A382" s="27">
        <v>45999</v>
      </c>
      <c r="B382" s="27">
        <v>45999</v>
      </c>
      <c r="C382" t="s">
        <v>1051</v>
      </c>
      <c r="D382" t="s">
        <v>735</v>
      </c>
      <c r="E382" t="s">
        <v>929</v>
      </c>
      <c r="F382" t="s">
        <v>990</v>
      </c>
      <c r="G382" t="s">
        <v>1052</v>
      </c>
    </row>
    <row r="383" spans="1:7" x14ac:dyDescent="0.15">
      <c r="A383" s="27">
        <v>45999</v>
      </c>
      <c r="B383" s="27">
        <v>45999</v>
      </c>
      <c r="C383" t="s">
        <v>874</v>
      </c>
      <c r="D383" t="s">
        <v>735</v>
      </c>
      <c r="E383" t="s">
        <v>875</v>
      </c>
      <c r="F383" t="s">
        <v>876</v>
      </c>
      <c r="G383" t="s">
        <v>1053</v>
      </c>
    </row>
    <row r="384" spans="1:7" x14ac:dyDescent="0.15">
      <c r="A384" s="27">
        <v>46001</v>
      </c>
      <c r="B384" s="27">
        <v>46023</v>
      </c>
      <c r="C384" t="s">
        <v>763</v>
      </c>
      <c r="D384" t="s">
        <v>734</v>
      </c>
      <c r="F384" t="s">
        <v>760</v>
      </c>
      <c r="G384" t="s">
        <v>801</v>
      </c>
    </row>
    <row r="385" spans="1:7" x14ac:dyDescent="0.15">
      <c r="A385" s="27">
        <v>46001</v>
      </c>
      <c r="B385" s="27">
        <v>46001</v>
      </c>
      <c r="C385" t="s">
        <v>762</v>
      </c>
      <c r="D385" t="s">
        <v>734</v>
      </c>
      <c r="E385" t="s">
        <v>741</v>
      </c>
      <c r="F385" t="s">
        <v>736</v>
      </c>
    </row>
    <row r="386" spans="1:7" x14ac:dyDescent="0.15">
      <c r="A386" s="27">
        <v>46001</v>
      </c>
      <c r="B386" s="27">
        <v>46001</v>
      </c>
      <c r="C386" t="s">
        <v>1054</v>
      </c>
      <c r="D386" t="s">
        <v>735</v>
      </c>
      <c r="F386" t="s">
        <v>849</v>
      </c>
      <c r="G386" t="s">
        <v>850</v>
      </c>
    </row>
    <row r="387" spans="1:7" x14ac:dyDescent="0.15">
      <c r="A387" s="27">
        <v>46001</v>
      </c>
      <c r="B387" s="27">
        <v>46001</v>
      </c>
      <c r="C387" t="s">
        <v>874</v>
      </c>
      <c r="D387" t="s">
        <v>741</v>
      </c>
      <c r="E387" t="s">
        <v>734</v>
      </c>
      <c r="F387" t="s">
        <v>885</v>
      </c>
    </row>
    <row r="388" spans="1:7" x14ac:dyDescent="0.15">
      <c r="A388" s="27">
        <v>46003</v>
      </c>
      <c r="B388" s="27">
        <v>46003</v>
      </c>
      <c r="C388" t="s">
        <v>874</v>
      </c>
      <c r="D388" t="s">
        <v>734</v>
      </c>
      <c r="E388" t="s">
        <v>875</v>
      </c>
      <c r="F388" t="s">
        <v>876</v>
      </c>
      <c r="G388" t="s">
        <v>877</v>
      </c>
    </row>
    <row r="389" spans="1:7" x14ac:dyDescent="0.15">
      <c r="A389" s="27">
        <v>46003</v>
      </c>
      <c r="B389" s="27">
        <v>46003</v>
      </c>
      <c r="C389" t="s">
        <v>1055</v>
      </c>
      <c r="D389" t="s">
        <v>735</v>
      </c>
      <c r="E389" t="s">
        <v>1056</v>
      </c>
      <c r="F389" t="s">
        <v>1057</v>
      </c>
      <c r="G389" t="s">
        <v>1058</v>
      </c>
    </row>
    <row r="390" spans="1:7" x14ac:dyDescent="0.15">
      <c r="A390" s="27">
        <v>46003</v>
      </c>
      <c r="B390" s="27">
        <v>46003</v>
      </c>
      <c r="C390" t="s">
        <v>1025</v>
      </c>
      <c r="D390" t="s">
        <v>735</v>
      </c>
      <c r="E390" t="s">
        <v>1056</v>
      </c>
      <c r="F390" t="s">
        <v>1057</v>
      </c>
      <c r="G390" t="s">
        <v>1059</v>
      </c>
    </row>
    <row r="391" spans="1:7" x14ac:dyDescent="0.15">
      <c r="A391" s="27">
        <v>46003</v>
      </c>
      <c r="B391" s="27">
        <v>46003</v>
      </c>
      <c r="C391" t="s">
        <v>1060</v>
      </c>
      <c r="D391" t="s">
        <v>735</v>
      </c>
      <c r="F391" t="s">
        <v>903</v>
      </c>
      <c r="G391" t="s">
        <v>904</v>
      </c>
    </row>
    <row r="392" spans="1:7" x14ac:dyDescent="0.15">
      <c r="A392" s="27">
        <v>46003</v>
      </c>
      <c r="B392" s="27">
        <v>46003</v>
      </c>
      <c r="C392" t="s">
        <v>1061</v>
      </c>
      <c r="D392" t="s">
        <v>735</v>
      </c>
      <c r="E392" t="s">
        <v>741</v>
      </c>
      <c r="F392" t="s">
        <v>736</v>
      </c>
    </row>
    <row r="393" spans="1:7" x14ac:dyDescent="0.15">
      <c r="A393" s="27">
        <v>46003</v>
      </c>
      <c r="B393" s="27">
        <v>46003</v>
      </c>
      <c r="C393" t="s">
        <v>1269</v>
      </c>
      <c r="D393" t="s">
        <v>741</v>
      </c>
      <c r="E393" t="s">
        <v>735</v>
      </c>
      <c r="F393" t="s">
        <v>736</v>
      </c>
    </row>
    <row r="394" spans="1:7" x14ac:dyDescent="0.15">
      <c r="A394" s="27">
        <v>46004</v>
      </c>
      <c r="B394" s="27">
        <v>46004</v>
      </c>
      <c r="C394" t="s">
        <v>892</v>
      </c>
      <c r="D394" t="s">
        <v>735</v>
      </c>
      <c r="E394" t="s">
        <v>765</v>
      </c>
      <c r="F394" t="s">
        <v>912</v>
      </c>
    </row>
    <row r="395" spans="1:7" x14ac:dyDescent="0.15">
      <c r="A395" s="27">
        <v>46004</v>
      </c>
      <c r="B395" s="27">
        <v>46004</v>
      </c>
      <c r="C395" t="s">
        <v>892</v>
      </c>
      <c r="D395" t="s">
        <v>735</v>
      </c>
      <c r="E395" t="s">
        <v>795</v>
      </c>
      <c r="F395" t="s">
        <v>913</v>
      </c>
    </row>
    <row r="396" spans="1:7" x14ac:dyDescent="0.15">
      <c r="A396" s="27">
        <v>46006</v>
      </c>
      <c r="B396" s="27">
        <v>46006</v>
      </c>
      <c r="C396" t="s">
        <v>874</v>
      </c>
      <c r="D396" t="s">
        <v>735</v>
      </c>
      <c r="E396" t="s">
        <v>875</v>
      </c>
      <c r="F396" t="s">
        <v>876</v>
      </c>
      <c r="G396" t="s">
        <v>1062</v>
      </c>
    </row>
    <row r="397" spans="1:7" x14ac:dyDescent="0.15">
      <c r="A397" s="27">
        <v>46008</v>
      </c>
      <c r="B397" s="27">
        <v>46023</v>
      </c>
      <c r="C397" t="s">
        <v>759</v>
      </c>
      <c r="D397" t="s">
        <v>734</v>
      </c>
      <c r="F397" t="s">
        <v>760</v>
      </c>
      <c r="G397" t="s">
        <v>801</v>
      </c>
    </row>
    <row r="398" spans="1:7" x14ac:dyDescent="0.15">
      <c r="A398" s="27">
        <v>46008</v>
      </c>
      <c r="B398" s="27">
        <v>46008</v>
      </c>
      <c r="C398" t="s">
        <v>762</v>
      </c>
      <c r="D398" t="s">
        <v>734</v>
      </c>
      <c r="E398" t="s">
        <v>741</v>
      </c>
      <c r="F398" t="s">
        <v>736</v>
      </c>
    </row>
    <row r="399" spans="1:7" x14ac:dyDescent="0.15">
      <c r="A399" s="27">
        <v>46008</v>
      </c>
      <c r="B399" s="27">
        <v>46008</v>
      </c>
      <c r="C399" t="s">
        <v>874</v>
      </c>
      <c r="D399" t="s">
        <v>741</v>
      </c>
      <c r="E399" t="s">
        <v>734</v>
      </c>
      <c r="F399" t="s">
        <v>885</v>
      </c>
    </row>
    <row r="400" spans="1:7" x14ac:dyDescent="0.15">
      <c r="A400" s="27">
        <v>46010</v>
      </c>
      <c r="B400" s="27">
        <v>46023</v>
      </c>
      <c r="C400" t="s">
        <v>878</v>
      </c>
      <c r="D400" t="s">
        <v>734</v>
      </c>
      <c r="F400" t="s">
        <v>879</v>
      </c>
      <c r="G400" t="s">
        <v>880</v>
      </c>
    </row>
    <row r="401" spans="1:7" x14ac:dyDescent="0.15">
      <c r="A401" s="27">
        <v>46010</v>
      </c>
      <c r="B401" s="27">
        <v>46010</v>
      </c>
      <c r="C401" t="s">
        <v>749</v>
      </c>
      <c r="D401" t="s">
        <v>734</v>
      </c>
      <c r="E401" t="s">
        <v>741</v>
      </c>
      <c r="F401" t="s">
        <v>736</v>
      </c>
    </row>
    <row r="402" spans="1:7" x14ac:dyDescent="0.15">
      <c r="A402" s="27">
        <v>46010</v>
      </c>
      <c r="B402" s="27">
        <v>46023</v>
      </c>
      <c r="C402" t="s">
        <v>881</v>
      </c>
      <c r="D402" t="s">
        <v>734</v>
      </c>
      <c r="F402" t="s">
        <v>882</v>
      </c>
      <c r="G402" t="s">
        <v>883</v>
      </c>
    </row>
    <row r="403" spans="1:7" x14ac:dyDescent="0.15">
      <c r="A403" s="27">
        <v>46010</v>
      </c>
      <c r="B403" s="27">
        <v>46010</v>
      </c>
      <c r="C403" t="s">
        <v>884</v>
      </c>
      <c r="D403" t="s">
        <v>734</v>
      </c>
      <c r="E403" t="s">
        <v>741</v>
      </c>
      <c r="F403" t="s">
        <v>736</v>
      </c>
    </row>
    <row r="404" spans="1:7" x14ac:dyDescent="0.15">
      <c r="A404" s="27">
        <v>46010</v>
      </c>
      <c r="B404" s="27">
        <v>46010</v>
      </c>
      <c r="C404" t="s">
        <v>733</v>
      </c>
      <c r="D404" t="s">
        <v>734</v>
      </c>
      <c r="E404" t="s">
        <v>817</v>
      </c>
      <c r="F404" t="s">
        <v>885</v>
      </c>
    </row>
    <row r="405" spans="1:7" x14ac:dyDescent="0.15">
      <c r="A405" s="27">
        <v>46010</v>
      </c>
      <c r="B405" s="27">
        <v>46010</v>
      </c>
      <c r="C405" t="s">
        <v>886</v>
      </c>
      <c r="D405" t="s">
        <v>734</v>
      </c>
      <c r="F405" t="s">
        <v>887</v>
      </c>
      <c r="G405" t="s">
        <v>888</v>
      </c>
    </row>
    <row r="406" spans="1:7" x14ac:dyDescent="0.15">
      <c r="A406" s="27">
        <v>46010</v>
      </c>
      <c r="B406" s="27">
        <v>46010</v>
      </c>
      <c r="C406" t="s">
        <v>749</v>
      </c>
      <c r="D406" t="s">
        <v>734</v>
      </c>
      <c r="E406" t="s">
        <v>741</v>
      </c>
      <c r="F406" t="s">
        <v>736</v>
      </c>
    </row>
    <row r="407" spans="1:7" x14ac:dyDescent="0.15">
      <c r="A407" s="27">
        <v>46010</v>
      </c>
      <c r="B407" s="27">
        <v>46010</v>
      </c>
      <c r="C407" t="s">
        <v>889</v>
      </c>
      <c r="D407" t="s">
        <v>734</v>
      </c>
      <c r="F407" t="s">
        <v>854</v>
      </c>
      <c r="G407" t="s">
        <v>855</v>
      </c>
    </row>
    <row r="408" spans="1:7" x14ac:dyDescent="0.15">
      <c r="A408" s="27">
        <v>46010</v>
      </c>
      <c r="B408" s="27">
        <v>46010</v>
      </c>
      <c r="C408" t="s">
        <v>890</v>
      </c>
      <c r="D408" t="s">
        <v>734</v>
      </c>
      <c r="E408" t="s">
        <v>741</v>
      </c>
      <c r="F408" t="s">
        <v>736</v>
      </c>
    </row>
    <row r="409" spans="1:7" x14ac:dyDescent="0.15">
      <c r="A409" s="27">
        <v>46010</v>
      </c>
      <c r="B409" s="27">
        <v>46010</v>
      </c>
      <c r="C409" t="s">
        <v>874</v>
      </c>
      <c r="D409" t="s">
        <v>734</v>
      </c>
      <c r="E409" t="s">
        <v>875</v>
      </c>
      <c r="F409" t="s">
        <v>876</v>
      </c>
      <c r="G409" t="s">
        <v>891</v>
      </c>
    </row>
    <row r="410" spans="1:7" x14ac:dyDescent="0.15">
      <c r="A410" s="27">
        <v>46010</v>
      </c>
      <c r="B410" s="27">
        <v>46010</v>
      </c>
      <c r="C410" t="s">
        <v>1231</v>
      </c>
      <c r="D410" t="s">
        <v>741</v>
      </c>
      <c r="E410" t="s">
        <v>734</v>
      </c>
      <c r="F410" t="s">
        <v>885</v>
      </c>
    </row>
    <row r="411" spans="1:7" x14ac:dyDescent="0.15">
      <c r="A411" s="27">
        <v>46010</v>
      </c>
      <c r="B411" s="27">
        <v>46010</v>
      </c>
      <c r="C411" t="s">
        <v>1270</v>
      </c>
      <c r="D411" t="s">
        <v>741</v>
      </c>
      <c r="E411" t="s">
        <v>734</v>
      </c>
      <c r="F411" t="s">
        <v>885</v>
      </c>
    </row>
    <row r="412" spans="1:7" x14ac:dyDescent="0.15">
      <c r="A412" s="27">
        <v>46010</v>
      </c>
      <c r="B412" s="27">
        <v>46010</v>
      </c>
      <c r="C412" t="s">
        <v>1231</v>
      </c>
      <c r="D412" t="s">
        <v>741</v>
      </c>
      <c r="E412" t="s">
        <v>734</v>
      </c>
      <c r="F412" t="s">
        <v>885</v>
      </c>
    </row>
    <row r="413" spans="1:7" x14ac:dyDescent="0.15">
      <c r="A413" s="27">
        <v>46010</v>
      </c>
      <c r="B413" s="27">
        <v>46010</v>
      </c>
      <c r="C413" t="s">
        <v>1253</v>
      </c>
      <c r="D413" t="s">
        <v>741</v>
      </c>
      <c r="E413" t="s">
        <v>734</v>
      </c>
      <c r="F413" t="s">
        <v>885</v>
      </c>
    </row>
    <row r="414" spans="1:7" x14ac:dyDescent="0.15">
      <c r="A414" s="27">
        <v>46011</v>
      </c>
      <c r="B414" s="27">
        <v>46011</v>
      </c>
      <c r="C414" t="s">
        <v>816</v>
      </c>
      <c r="D414" t="s">
        <v>734</v>
      </c>
      <c r="E414" t="s">
        <v>735</v>
      </c>
      <c r="F414" t="s">
        <v>815</v>
      </c>
    </row>
    <row r="415" spans="1:7" x14ac:dyDescent="0.15">
      <c r="A415" s="27">
        <v>46011</v>
      </c>
      <c r="B415" s="27">
        <v>46011</v>
      </c>
      <c r="C415" t="s">
        <v>1015</v>
      </c>
      <c r="D415" t="s">
        <v>735</v>
      </c>
      <c r="E415" t="s">
        <v>734</v>
      </c>
      <c r="F415" t="s">
        <v>885</v>
      </c>
    </row>
    <row r="416" spans="1:7" x14ac:dyDescent="0.15">
      <c r="A416" s="27">
        <v>46011</v>
      </c>
      <c r="B416" s="27">
        <v>46011</v>
      </c>
      <c r="C416" t="s">
        <v>892</v>
      </c>
      <c r="D416" t="s">
        <v>735</v>
      </c>
      <c r="E416" t="s">
        <v>765</v>
      </c>
      <c r="F416" t="s">
        <v>912</v>
      </c>
    </row>
    <row r="417" spans="1:7" x14ac:dyDescent="0.15">
      <c r="A417" s="27">
        <v>46011</v>
      </c>
      <c r="B417" s="27">
        <v>46011</v>
      </c>
      <c r="C417" t="s">
        <v>892</v>
      </c>
      <c r="D417" t="s">
        <v>735</v>
      </c>
      <c r="E417" t="s">
        <v>795</v>
      </c>
      <c r="F417" t="s">
        <v>913</v>
      </c>
    </row>
    <row r="418" spans="1:7" x14ac:dyDescent="0.15">
      <c r="A418" s="27">
        <v>46013</v>
      </c>
      <c r="B418" s="27">
        <v>46013</v>
      </c>
      <c r="C418" t="s">
        <v>874</v>
      </c>
      <c r="D418" t="s">
        <v>735</v>
      </c>
      <c r="E418" t="s">
        <v>875</v>
      </c>
      <c r="F418" t="s">
        <v>876</v>
      </c>
      <c r="G418" t="s">
        <v>1063</v>
      </c>
    </row>
    <row r="419" spans="1:7" x14ac:dyDescent="0.15">
      <c r="A419" s="27">
        <v>46014</v>
      </c>
      <c r="B419" s="27">
        <v>46014</v>
      </c>
      <c r="C419" t="s">
        <v>892</v>
      </c>
      <c r="D419" t="s">
        <v>734</v>
      </c>
      <c r="E419" t="s">
        <v>735</v>
      </c>
      <c r="F419" t="s">
        <v>815</v>
      </c>
    </row>
    <row r="420" spans="1:7" x14ac:dyDescent="0.15">
      <c r="A420" s="27">
        <v>46014</v>
      </c>
      <c r="B420" s="27">
        <v>46014</v>
      </c>
      <c r="C420" t="s">
        <v>764</v>
      </c>
      <c r="D420" t="s">
        <v>735</v>
      </c>
      <c r="E420" t="s">
        <v>734</v>
      </c>
      <c r="F420" t="s">
        <v>885</v>
      </c>
    </row>
    <row r="421" spans="1:7" x14ac:dyDescent="0.15">
      <c r="A421" s="27">
        <v>46014</v>
      </c>
      <c r="B421" s="27">
        <v>46014</v>
      </c>
      <c r="C421" t="s">
        <v>1064</v>
      </c>
      <c r="D421" t="s">
        <v>735</v>
      </c>
      <c r="E421" t="s">
        <v>1008</v>
      </c>
      <c r="F421" t="s">
        <v>1009</v>
      </c>
      <c r="G421" t="s">
        <v>1065</v>
      </c>
    </row>
    <row r="422" spans="1:7" x14ac:dyDescent="0.15">
      <c r="A422" s="27">
        <v>46014</v>
      </c>
      <c r="B422" s="27">
        <v>46014</v>
      </c>
      <c r="C422" t="s">
        <v>1066</v>
      </c>
      <c r="D422" t="s">
        <v>735</v>
      </c>
      <c r="E422" t="s">
        <v>741</v>
      </c>
      <c r="F422" t="s">
        <v>736</v>
      </c>
    </row>
    <row r="423" spans="1:7" x14ac:dyDescent="0.15">
      <c r="A423" s="27">
        <v>46014</v>
      </c>
      <c r="B423" s="27">
        <v>46014</v>
      </c>
      <c r="C423" t="s">
        <v>1067</v>
      </c>
      <c r="D423" t="s">
        <v>735</v>
      </c>
      <c r="E423" t="s">
        <v>817</v>
      </c>
      <c r="F423" t="s">
        <v>885</v>
      </c>
    </row>
    <row r="424" spans="1:7" x14ac:dyDescent="0.15">
      <c r="A424" s="27">
        <v>46014</v>
      </c>
      <c r="B424" s="27">
        <v>46014</v>
      </c>
      <c r="C424" t="s">
        <v>1271</v>
      </c>
      <c r="D424" t="s">
        <v>741</v>
      </c>
      <c r="E424" t="s">
        <v>735</v>
      </c>
      <c r="F424" t="s">
        <v>736</v>
      </c>
    </row>
    <row r="425" spans="1:7" x14ac:dyDescent="0.15">
      <c r="A425" s="27">
        <v>46015</v>
      </c>
      <c r="B425" s="27">
        <v>46015</v>
      </c>
      <c r="C425" t="s">
        <v>797</v>
      </c>
      <c r="D425" t="s">
        <v>735</v>
      </c>
      <c r="E425" t="s">
        <v>1044</v>
      </c>
      <c r="F425" t="s">
        <v>799</v>
      </c>
      <c r="G425" t="s">
        <v>1068</v>
      </c>
    </row>
    <row r="426" spans="1:7" x14ac:dyDescent="0.15">
      <c r="A426" s="27">
        <v>46015</v>
      </c>
      <c r="B426" s="27">
        <v>46015</v>
      </c>
      <c r="C426" t="s">
        <v>762</v>
      </c>
      <c r="D426" t="s">
        <v>735</v>
      </c>
      <c r="E426" t="s">
        <v>741</v>
      </c>
      <c r="F426" t="s">
        <v>736</v>
      </c>
    </row>
    <row r="427" spans="1:7" x14ac:dyDescent="0.15">
      <c r="A427" s="27">
        <v>46015</v>
      </c>
      <c r="B427" s="27">
        <v>46015</v>
      </c>
      <c r="C427" t="s">
        <v>874</v>
      </c>
      <c r="D427" t="s">
        <v>741</v>
      </c>
      <c r="E427" t="s">
        <v>735</v>
      </c>
      <c r="F427" t="s">
        <v>736</v>
      </c>
    </row>
    <row r="428" spans="1:7" x14ac:dyDescent="0.15">
      <c r="A428" s="27">
        <v>46017</v>
      </c>
      <c r="B428" s="27">
        <v>46017</v>
      </c>
      <c r="C428" t="s">
        <v>874</v>
      </c>
      <c r="D428" t="s">
        <v>734</v>
      </c>
      <c r="E428" t="s">
        <v>875</v>
      </c>
      <c r="F428" t="s">
        <v>876</v>
      </c>
      <c r="G428" t="s">
        <v>893</v>
      </c>
    </row>
    <row r="429" spans="1:7" x14ac:dyDescent="0.15">
      <c r="A429" s="27">
        <v>46018</v>
      </c>
      <c r="B429" s="27">
        <v>46018</v>
      </c>
      <c r="C429" t="s">
        <v>892</v>
      </c>
      <c r="D429" t="s">
        <v>735</v>
      </c>
      <c r="E429" t="s">
        <v>765</v>
      </c>
      <c r="F429" t="s">
        <v>912</v>
      </c>
    </row>
    <row r="430" spans="1:7" x14ac:dyDescent="0.15">
      <c r="A430" s="27">
        <v>46018</v>
      </c>
      <c r="B430" s="27">
        <v>46018</v>
      </c>
      <c r="C430" t="s">
        <v>892</v>
      </c>
      <c r="D430" t="s">
        <v>735</v>
      </c>
      <c r="E430" t="s">
        <v>795</v>
      </c>
      <c r="F430" t="s">
        <v>913</v>
      </c>
    </row>
    <row r="431" spans="1:7" x14ac:dyDescent="0.15">
      <c r="A431" s="27">
        <v>46019</v>
      </c>
      <c r="B431" s="27">
        <v>46019</v>
      </c>
      <c r="C431" t="s">
        <v>1069</v>
      </c>
      <c r="D431" t="s">
        <v>735</v>
      </c>
      <c r="E431" t="s">
        <v>741</v>
      </c>
      <c r="F431" t="s">
        <v>736</v>
      </c>
    </row>
    <row r="432" spans="1:7" x14ac:dyDescent="0.15">
      <c r="A432" s="27">
        <v>46019</v>
      </c>
      <c r="B432" s="27">
        <v>46019</v>
      </c>
      <c r="C432" t="s">
        <v>1144</v>
      </c>
      <c r="D432" t="s">
        <v>772</v>
      </c>
      <c r="E432" t="s">
        <v>811</v>
      </c>
      <c r="F432" t="s">
        <v>812</v>
      </c>
      <c r="G432" t="s">
        <v>1030</v>
      </c>
    </row>
    <row r="433" spans="1:7" x14ac:dyDescent="0.15">
      <c r="A433" s="27">
        <v>46019</v>
      </c>
      <c r="B433" s="27">
        <v>46023</v>
      </c>
      <c r="C433" t="s">
        <v>1145</v>
      </c>
      <c r="D433" t="s">
        <v>772</v>
      </c>
      <c r="F433" t="s">
        <v>1146</v>
      </c>
      <c r="G433" t="s">
        <v>1147</v>
      </c>
    </row>
    <row r="434" spans="1:7" x14ac:dyDescent="0.15">
      <c r="A434" s="27">
        <v>46019</v>
      </c>
      <c r="B434" s="27">
        <v>46019</v>
      </c>
      <c r="C434" t="s">
        <v>780</v>
      </c>
      <c r="D434" t="s">
        <v>772</v>
      </c>
      <c r="E434" t="s">
        <v>741</v>
      </c>
      <c r="F434" t="s">
        <v>736</v>
      </c>
    </row>
    <row r="435" spans="1:7" x14ac:dyDescent="0.15">
      <c r="A435" s="27">
        <v>46019</v>
      </c>
      <c r="B435" s="27">
        <v>46019</v>
      </c>
      <c r="C435" t="s">
        <v>1272</v>
      </c>
      <c r="D435" t="s">
        <v>741</v>
      </c>
      <c r="E435" t="s">
        <v>735</v>
      </c>
      <c r="F435" t="s">
        <v>815</v>
      </c>
    </row>
    <row r="436" spans="1:7" x14ac:dyDescent="0.15">
      <c r="A436" s="27">
        <v>46019</v>
      </c>
      <c r="B436" s="27">
        <v>46019</v>
      </c>
      <c r="C436" t="s">
        <v>1233</v>
      </c>
      <c r="D436" t="s">
        <v>741</v>
      </c>
      <c r="E436" t="s">
        <v>772</v>
      </c>
      <c r="F436" t="s">
        <v>736</v>
      </c>
    </row>
    <row r="437" spans="1:7" x14ac:dyDescent="0.15">
      <c r="A437" s="27">
        <v>46020</v>
      </c>
      <c r="B437" s="27">
        <v>46020</v>
      </c>
      <c r="C437" t="s">
        <v>1070</v>
      </c>
      <c r="D437" t="s">
        <v>735</v>
      </c>
      <c r="E437" t="s">
        <v>772</v>
      </c>
      <c r="F437" t="s">
        <v>815</v>
      </c>
    </row>
    <row r="438" spans="1:7" x14ac:dyDescent="0.15">
      <c r="A438" s="27">
        <v>46020</v>
      </c>
      <c r="B438" s="27">
        <v>46020</v>
      </c>
      <c r="C438" t="s">
        <v>874</v>
      </c>
      <c r="D438" t="s">
        <v>735</v>
      </c>
      <c r="E438" t="s">
        <v>875</v>
      </c>
      <c r="F438" t="s">
        <v>876</v>
      </c>
      <c r="G438" t="s">
        <v>1071</v>
      </c>
    </row>
    <row r="439" spans="1:7" x14ac:dyDescent="0.15">
      <c r="A439" s="27">
        <v>46020</v>
      </c>
      <c r="B439" s="27">
        <v>46023</v>
      </c>
      <c r="C439" t="s">
        <v>1148</v>
      </c>
      <c r="D439" t="s">
        <v>772</v>
      </c>
      <c r="F439" t="s">
        <v>1149</v>
      </c>
      <c r="G439" t="s">
        <v>1150</v>
      </c>
    </row>
    <row r="440" spans="1:7" x14ac:dyDescent="0.15">
      <c r="A440" s="27">
        <v>46020</v>
      </c>
      <c r="B440" s="27">
        <v>46020</v>
      </c>
      <c r="C440" t="s">
        <v>937</v>
      </c>
      <c r="D440" t="s">
        <v>772</v>
      </c>
      <c r="E440" t="s">
        <v>741</v>
      </c>
      <c r="F440" t="s">
        <v>736</v>
      </c>
    </row>
    <row r="441" spans="1:7" x14ac:dyDescent="0.15">
      <c r="A441" s="27">
        <v>46020</v>
      </c>
      <c r="B441" s="27">
        <v>46023</v>
      </c>
      <c r="C441" t="s">
        <v>1151</v>
      </c>
      <c r="D441" t="s">
        <v>772</v>
      </c>
      <c r="F441" t="s">
        <v>1152</v>
      </c>
      <c r="G441" t="s">
        <v>1153</v>
      </c>
    </row>
    <row r="442" spans="1:7" x14ac:dyDescent="0.15">
      <c r="A442" s="27">
        <v>46020</v>
      </c>
      <c r="B442" s="27">
        <v>46020</v>
      </c>
      <c r="C442" t="s">
        <v>911</v>
      </c>
      <c r="D442" t="s">
        <v>772</v>
      </c>
      <c r="E442" t="s">
        <v>741</v>
      </c>
      <c r="F442" t="s">
        <v>736</v>
      </c>
    </row>
    <row r="443" spans="1:7" x14ac:dyDescent="0.15">
      <c r="A443" s="27">
        <v>46020</v>
      </c>
      <c r="B443" s="27">
        <v>46023</v>
      </c>
      <c r="C443" t="s">
        <v>1154</v>
      </c>
      <c r="D443" t="s">
        <v>772</v>
      </c>
      <c r="F443" t="s">
        <v>1155</v>
      </c>
      <c r="G443" t="s">
        <v>1156</v>
      </c>
    </row>
    <row r="444" spans="1:7" x14ac:dyDescent="0.15">
      <c r="A444" s="27">
        <v>46020</v>
      </c>
      <c r="B444" s="27">
        <v>46020</v>
      </c>
      <c r="C444" t="s">
        <v>1157</v>
      </c>
      <c r="D444" t="s">
        <v>772</v>
      </c>
      <c r="E444" t="s">
        <v>741</v>
      </c>
      <c r="F444" t="s">
        <v>736</v>
      </c>
    </row>
    <row r="445" spans="1:7" x14ac:dyDescent="0.15">
      <c r="A445" s="27">
        <v>46020</v>
      </c>
      <c r="B445" s="27">
        <v>46020</v>
      </c>
      <c r="C445" t="s">
        <v>1158</v>
      </c>
      <c r="D445" t="s">
        <v>772</v>
      </c>
      <c r="E445" t="s">
        <v>735</v>
      </c>
      <c r="F445" t="s">
        <v>736</v>
      </c>
    </row>
    <row r="446" spans="1:7" x14ac:dyDescent="0.15">
      <c r="A446" s="27">
        <v>46020</v>
      </c>
      <c r="B446" s="27">
        <v>46023</v>
      </c>
      <c r="C446" t="s">
        <v>1159</v>
      </c>
      <c r="D446" t="s">
        <v>772</v>
      </c>
      <c r="F446" t="s">
        <v>1160</v>
      </c>
      <c r="G446" t="s">
        <v>1161</v>
      </c>
    </row>
    <row r="447" spans="1:7" x14ac:dyDescent="0.15">
      <c r="A447" s="27">
        <v>46020</v>
      </c>
      <c r="B447" s="27">
        <v>46020</v>
      </c>
      <c r="C447" t="s">
        <v>762</v>
      </c>
      <c r="D447" t="s">
        <v>772</v>
      </c>
      <c r="E447" t="s">
        <v>741</v>
      </c>
      <c r="F447" t="s">
        <v>736</v>
      </c>
    </row>
    <row r="448" spans="1:7" x14ac:dyDescent="0.15">
      <c r="A448" s="27">
        <v>46020</v>
      </c>
      <c r="B448" s="27">
        <v>46023</v>
      </c>
      <c r="C448" t="s">
        <v>1162</v>
      </c>
      <c r="D448" t="s">
        <v>772</v>
      </c>
      <c r="F448" t="s">
        <v>1163</v>
      </c>
      <c r="G448" t="s">
        <v>1164</v>
      </c>
    </row>
    <row r="449" spans="1:7" x14ac:dyDescent="0.15">
      <c r="A449" s="27">
        <v>46020</v>
      </c>
      <c r="B449" s="27">
        <v>46020</v>
      </c>
      <c r="C449" t="s">
        <v>859</v>
      </c>
      <c r="D449" t="s">
        <v>772</v>
      </c>
      <c r="E449" t="s">
        <v>741</v>
      </c>
      <c r="F449" t="s">
        <v>736</v>
      </c>
    </row>
    <row r="450" spans="1:7" x14ac:dyDescent="0.15">
      <c r="A450" s="27">
        <v>46020</v>
      </c>
      <c r="B450" s="27">
        <v>46023</v>
      </c>
      <c r="C450" t="s">
        <v>1165</v>
      </c>
      <c r="D450" t="s">
        <v>772</v>
      </c>
      <c r="F450" t="s">
        <v>1166</v>
      </c>
      <c r="G450" t="s">
        <v>1167</v>
      </c>
    </row>
    <row r="451" spans="1:7" x14ac:dyDescent="0.15">
      <c r="A451" s="27">
        <v>46020</v>
      </c>
      <c r="B451" s="27">
        <v>46020</v>
      </c>
      <c r="C451" t="s">
        <v>1168</v>
      </c>
      <c r="D451" t="s">
        <v>772</v>
      </c>
      <c r="E451" t="s">
        <v>741</v>
      </c>
      <c r="F451" t="s">
        <v>736</v>
      </c>
    </row>
    <row r="452" spans="1:7" x14ac:dyDescent="0.15">
      <c r="A452" s="27">
        <v>46020</v>
      </c>
      <c r="B452" s="27">
        <v>46023</v>
      </c>
      <c r="C452" t="s">
        <v>1169</v>
      </c>
      <c r="D452" t="s">
        <v>772</v>
      </c>
      <c r="F452" t="s">
        <v>1170</v>
      </c>
      <c r="G452" t="s">
        <v>1171</v>
      </c>
    </row>
    <row r="453" spans="1:7" x14ac:dyDescent="0.15">
      <c r="A453" s="27">
        <v>46020</v>
      </c>
      <c r="B453" s="27">
        <v>46020</v>
      </c>
      <c r="C453" t="s">
        <v>1024</v>
      </c>
      <c r="D453" t="s">
        <v>772</v>
      </c>
      <c r="E453" t="s">
        <v>741</v>
      </c>
      <c r="F453" t="s">
        <v>736</v>
      </c>
    </row>
    <row r="454" spans="1:7" x14ac:dyDescent="0.15">
      <c r="A454" s="27">
        <v>46020</v>
      </c>
      <c r="B454" s="27">
        <v>46023</v>
      </c>
      <c r="C454" t="s">
        <v>1172</v>
      </c>
      <c r="D454" t="s">
        <v>772</v>
      </c>
      <c r="F454" t="s">
        <v>1173</v>
      </c>
      <c r="G454" t="s">
        <v>1174</v>
      </c>
    </row>
    <row r="455" spans="1:7" x14ac:dyDescent="0.15">
      <c r="A455" s="27">
        <v>46020</v>
      </c>
      <c r="B455" s="27">
        <v>46020</v>
      </c>
      <c r="C455" t="s">
        <v>780</v>
      </c>
      <c r="D455" t="s">
        <v>772</v>
      </c>
      <c r="E455" t="s">
        <v>741</v>
      </c>
      <c r="F455" t="s">
        <v>736</v>
      </c>
    </row>
    <row r="456" spans="1:7" x14ac:dyDescent="0.15">
      <c r="A456" s="27">
        <v>46020</v>
      </c>
      <c r="B456" s="27">
        <v>46020</v>
      </c>
      <c r="C456" t="s">
        <v>1239</v>
      </c>
      <c r="D456" t="s">
        <v>741</v>
      </c>
      <c r="E456" t="s">
        <v>772</v>
      </c>
      <c r="F456" t="s">
        <v>736</v>
      </c>
    </row>
    <row r="457" spans="1:7" x14ac:dyDescent="0.15">
      <c r="A457" s="27">
        <v>46020</v>
      </c>
      <c r="B457" s="27">
        <v>46020</v>
      </c>
      <c r="C457" t="s">
        <v>1236</v>
      </c>
      <c r="D457" t="s">
        <v>741</v>
      </c>
      <c r="E457" t="s">
        <v>772</v>
      </c>
      <c r="F457" t="s">
        <v>736</v>
      </c>
    </row>
    <row r="458" spans="1:7" x14ac:dyDescent="0.15">
      <c r="A458" s="27">
        <v>46020</v>
      </c>
      <c r="B458" s="27">
        <v>46020</v>
      </c>
      <c r="C458" t="s">
        <v>1273</v>
      </c>
      <c r="D458" t="s">
        <v>741</v>
      </c>
      <c r="E458" t="s">
        <v>772</v>
      </c>
      <c r="F458" t="s">
        <v>736</v>
      </c>
    </row>
    <row r="459" spans="1:7" x14ac:dyDescent="0.15">
      <c r="A459" s="27">
        <v>46020</v>
      </c>
      <c r="B459" s="27">
        <v>46020</v>
      </c>
      <c r="C459" t="s">
        <v>874</v>
      </c>
      <c r="D459" t="s">
        <v>741</v>
      </c>
      <c r="E459" t="s">
        <v>772</v>
      </c>
      <c r="F459" t="s">
        <v>736</v>
      </c>
    </row>
    <row r="460" spans="1:7" x14ac:dyDescent="0.15">
      <c r="A460" s="27">
        <v>46020</v>
      </c>
      <c r="B460" s="27">
        <v>46020</v>
      </c>
      <c r="C460" t="s">
        <v>1262</v>
      </c>
      <c r="D460" t="s">
        <v>741</v>
      </c>
      <c r="E460" t="s">
        <v>772</v>
      </c>
      <c r="F460" t="s">
        <v>736</v>
      </c>
    </row>
    <row r="461" spans="1:7" x14ac:dyDescent="0.15">
      <c r="A461" s="27">
        <v>46020</v>
      </c>
      <c r="B461" s="27">
        <v>46020</v>
      </c>
      <c r="C461" t="s">
        <v>1274</v>
      </c>
      <c r="D461" t="s">
        <v>741</v>
      </c>
      <c r="E461" t="s">
        <v>772</v>
      </c>
      <c r="F461" t="s">
        <v>736</v>
      </c>
    </row>
    <row r="462" spans="1:7" x14ac:dyDescent="0.15">
      <c r="A462" s="27">
        <v>46020</v>
      </c>
      <c r="B462" s="27">
        <v>46020</v>
      </c>
      <c r="C462" t="s">
        <v>1263</v>
      </c>
      <c r="D462" t="s">
        <v>741</v>
      </c>
      <c r="E462" t="s">
        <v>772</v>
      </c>
      <c r="F462" t="s">
        <v>736</v>
      </c>
    </row>
    <row r="463" spans="1:7" x14ac:dyDescent="0.15">
      <c r="A463" s="27">
        <v>46020</v>
      </c>
      <c r="B463" s="27">
        <v>46020</v>
      </c>
      <c r="C463" t="s">
        <v>1233</v>
      </c>
      <c r="D463" t="s">
        <v>741</v>
      </c>
      <c r="E463" t="s">
        <v>772</v>
      </c>
      <c r="F463" t="s">
        <v>736</v>
      </c>
    </row>
    <row r="464" spans="1:7" x14ac:dyDescent="0.15">
      <c r="A464" s="27">
        <v>46021</v>
      </c>
      <c r="B464" s="27">
        <v>46023</v>
      </c>
      <c r="C464" t="s">
        <v>1175</v>
      </c>
      <c r="D464" t="s">
        <v>772</v>
      </c>
      <c r="F464" t="s">
        <v>1176</v>
      </c>
      <c r="G464" t="s">
        <v>1177</v>
      </c>
    </row>
    <row r="465" spans="1:7" x14ac:dyDescent="0.15">
      <c r="A465" s="27">
        <v>46021</v>
      </c>
      <c r="B465" s="27">
        <v>46021</v>
      </c>
      <c r="C465" t="s">
        <v>780</v>
      </c>
      <c r="D465" t="s">
        <v>772</v>
      </c>
      <c r="E465" t="s">
        <v>741</v>
      </c>
      <c r="F465" t="s">
        <v>736</v>
      </c>
    </row>
    <row r="466" spans="1:7" x14ac:dyDescent="0.15">
      <c r="A466" s="27">
        <v>46021</v>
      </c>
      <c r="B466" s="27">
        <v>46023</v>
      </c>
      <c r="C466" t="s">
        <v>896</v>
      </c>
      <c r="D466" t="s">
        <v>772</v>
      </c>
      <c r="F466" t="s">
        <v>1178</v>
      </c>
      <c r="G466" t="s">
        <v>1179</v>
      </c>
    </row>
    <row r="467" spans="1:7" x14ac:dyDescent="0.15">
      <c r="A467" s="27">
        <v>46021</v>
      </c>
      <c r="B467" s="27">
        <v>46021</v>
      </c>
      <c r="C467" t="s">
        <v>780</v>
      </c>
      <c r="D467" t="s">
        <v>772</v>
      </c>
      <c r="E467" t="s">
        <v>741</v>
      </c>
      <c r="F467" t="s">
        <v>736</v>
      </c>
    </row>
    <row r="468" spans="1:7" x14ac:dyDescent="0.15">
      <c r="A468" s="27">
        <v>46021</v>
      </c>
      <c r="B468" s="27">
        <v>46023</v>
      </c>
      <c r="C468" t="s">
        <v>927</v>
      </c>
      <c r="D468" t="s">
        <v>772</v>
      </c>
      <c r="F468" t="s">
        <v>1180</v>
      </c>
      <c r="G468" t="s">
        <v>1181</v>
      </c>
    </row>
    <row r="469" spans="1:7" x14ac:dyDescent="0.15">
      <c r="A469" s="27">
        <v>46021</v>
      </c>
      <c r="B469" s="27">
        <v>46021</v>
      </c>
      <c r="C469" t="s">
        <v>780</v>
      </c>
      <c r="D469" t="s">
        <v>772</v>
      </c>
      <c r="E469" t="s">
        <v>741</v>
      </c>
      <c r="F469" t="s">
        <v>736</v>
      </c>
    </row>
    <row r="470" spans="1:7" x14ac:dyDescent="0.15">
      <c r="A470" s="27">
        <v>46021</v>
      </c>
      <c r="B470" s="27">
        <v>46023</v>
      </c>
      <c r="C470" t="s">
        <v>1182</v>
      </c>
      <c r="D470" t="s">
        <v>772</v>
      </c>
      <c r="F470" t="s">
        <v>1183</v>
      </c>
      <c r="G470" t="s">
        <v>1184</v>
      </c>
    </row>
    <row r="471" spans="1:7" x14ac:dyDescent="0.15">
      <c r="A471" s="27">
        <v>46021</v>
      </c>
      <c r="B471" s="27">
        <v>46021</v>
      </c>
      <c r="C471" t="s">
        <v>780</v>
      </c>
      <c r="D471" t="s">
        <v>772</v>
      </c>
      <c r="E471" t="s">
        <v>741</v>
      </c>
      <c r="F471" t="s">
        <v>736</v>
      </c>
    </row>
    <row r="472" spans="1:7" x14ac:dyDescent="0.15">
      <c r="A472" s="27">
        <v>46021</v>
      </c>
      <c r="B472" s="27">
        <v>46023</v>
      </c>
      <c r="C472" t="s">
        <v>892</v>
      </c>
      <c r="D472" t="s">
        <v>772</v>
      </c>
      <c r="F472" t="s">
        <v>1185</v>
      </c>
      <c r="G472" t="s">
        <v>1186</v>
      </c>
    </row>
    <row r="473" spans="1:7" x14ac:dyDescent="0.15">
      <c r="A473" s="27">
        <v>46021</v>
      </c>
      <c r="B473" s="27">
        <v>46021</v>
      </c>
      <c r="C473" t="s">
        <v>780</v>
      </c>
      <c r="D473" t="s">
        <v>772</v>
      </c>
      <c r="E473" t="s">
        <v>741</v>
      </c>
      <c r="F473" t="s">
        <v>736</v>
      </c>
    </row>
    <row r="474" spans="1:7" x14ac:dyDescent="0.15">
      <c r="A474" s="27">
        <v>46021</v>
      </c>
      <c r="B474" s="27">
        <v>46023</v>
      </c>
      <c r="C474" t="s">
        <v>1187</v>
      </c>
      <c r="D474" t="s">
        <v>772</v>
      </c>
      <c r="F474" t="s">
        <v>1185</v>
      </c>
      <c r="G474" t="s">
        <v>1186</v>
      </c>
    </row>
    <row r="475" spans="1:7" x14ac:dyDescent="0.15">
      <c r="A475" s="27">
        <v>46021</v>
      </c>
      <c r="B475" s="27">
        <v>46021</v>
      </c>
      <c r="C475" t="s">
        <v>780</v>
      </c>
      <c r="D475" t="s">
        <v>772</v>
      </c>
      <c r="E475" t="s">
        <v>741</v>
      </c>
      <c r="F475" t="s">
        <v>736</v>
      </c>
    </row>
    <row r="476" spans="1:7" x14ac:dyDescent="0.15">
      <c r="A476" s="27">
        <v>46021</v>
      </c>
      <c r="B476" s="27">
        <v>46023</v>
      </c>
      <c r="C476" t="s">
        <v>896</v>
      </c>
      <c r="D476" t="s">
        <v>772</v>
      </c>
      <c r="F476" t="s">
        <v>1188</v>
      </c>
      <c r="G476" t="s">
        <v>1189</v>
      </c>
    </row>
    <row r="477" spans="1:7" x14ac:dyDescent="0.15">
      <c r="A477" s="27">
        <v>46021</v>
      </c>
      <c r="B477" s="27">
        <v>46021</v>
      </c>
      <c r="C477" t="s">
        <v>780</v>
      </c>
      <c r="D477" t="s">
        <v>772</v>
      </c>
      <c r="E477" t="s">
        <v>741</v>
      </c>
      <c r="F477" t="s">
        <v>736</v>
      </c>
    </row>
    <row r="478" spans="1:7" x14ac:dyDescent="0.15">
      <c r="A478" s="27">
        <v>46021</v>
      </c>
      <c r="B478" s="27">
        <v>46023</v>
      </c>
      <c r="C478" t="s">
        <v>830</v>
      </c>
      <c r="D478" t="s">
        <v>772</v>
      </c>
      <c r="F478" t="s">
        <v>1190</v>
      </c>
      <c r="G478" t="s">
        <v>1191</v>
      </c>
    </row>
    <row r="479" spans="1:7" x14ac:dyDescent="0.15">
      <c r="A479" s="27">
        <v>46021</v>
      </c>
      <c r="B479" s="27">
        <v>46021</v>
      </c>
      <c r="C479" t="s">
        <v>780</v>
      </c>
      <c r="D479" t="s">
        <v>772</v>
      </c>
      <c r="E479" t="s">
        <v>741</v>
      </c>
      <c r="F479" t="s">
        <v>736</v>
      </c>
    </row>
    <row r="480" spans="1:7" x14ac:dyDescent="0.15">
      <c r="A480" s="27">
        <v>46021</v>
      </c>
      <c r="B480" s="27">
        <v>46023</v>
      </c>
      <c r="C480" t="s">
        <v>1187</v>
      </c>
      <c r="D480" t="s">
        <v>772</v>
      </c>
      <c r="F480" t="s">
        <v>1192</v>
      </c>
      <c r="G480" t="s">
        <v>1193</v>
      </c>
    </row>
    <row r="481" spans="1:7" x14ac:dyDescent="0.15">
      <c r="A481" s="27">
        <v>46021</v>
      </c>
      <c r="B481" s="27">
        <v>46021</v>
      </c>
      <c r="C481" t="s">
        <v>780</v>
      </c>
      <c r="D481" t="s">
        <v>772</v>
      </c>
      <c r="E481" t="s">
        <v>741</v>
      </c>
      <c r="F481" t="s">
        <v>736</v>
      </c>
    </row>
    <row r="482" spans="1:7" x14ac:dyDescent="0.15">
      <c r="A482" s="27">
        <v>46021</v>
      </c>
      <c r="B482" s="27">
        <v>46023</v>
      </c>
      <c r="C482" t="s">
        <v>837</v>
      </c>
      <c r="D482" t="s">
        <v>772</v>
      </c>
      <c r="F482" t="s">
        <v>1194</v>
      </c>
      <c r="G482" t="s">
        <v>1195</v>
      </c>
    </row>
    <row r="483" spans="1:7" x14ac:dyDescent="0.15">
      <c r="A483" s="27">
        <v>46021</v>
      </c>
      <c r="B483" s="27">
        <v>46021</v>
      </c>
      <c r="C483" t="s">
        <v>780</v>
      </c>
      <c r="D483" t="s">
        <v>772</v>
      </c>
      <c r="E483" t="s">
        <v>741</v>
      </c>
      <c r="F483" t="s">
        <v>736</v>
      </c>
    </row>
    <row r="484" spans="1:7" x14ac:dyDescent="0.15">
      <c r="A484" s="27">
        <v>46021</v>
      </c>
      <c r="B484" s="27">
        <v>46023</v>
      </c>
      <c r="C484" t="s">
        <v>1187</v>
      </c>
      <c r="D484" t="s">
        <v>772</v>
      </c>
      <c r="F484" t="s">
        <v>1196</v>
      </c>
      <c r="G484" t="s">
        <v>1197</v>
      </c>
    </row>
    <row r="485" spans="1:7" x14ac:dyDescent="0.15">
      <c r="A485" s="27">
        <v>46021</v>
      </c>
      <c r="B485" s="27">
        <v>46021</v>
      </c>
      <c r="C485" t="s">
        <v>780</v>
      </c>
      <c r="D485" t="s">
        <v>772</v>
      </c>
      <c r="E485" t="s">
        <v>741</v>
      </c>
      <c r="F485" t="s">
        <v>736</v>
      </c>
    </row>
    <row r="486" spans="1:7" x14ac:dyDescent="0.15">
      <c r="A486" s="27">
        <v>46021</v>
      </c>
      <c r="B486" s="27">
        <v>46023</v>
      </c>
      <c r="C486" t="s">
        <v>1116</v>
      </c>
      <c r="D486" t="s">
        <v>772</v>
      </c>
      <c r="F486" t="s">
        <v>1192</v>
      </c>
      <c r="G486" t="s">
        <v>1193</v>
      </c>
    </row>
    <row r="487" spans="1:7" x14ac:dyDescent="0.15">
      <c r="A487" s="27">
        <v>46021</v>
      </c>
      <c r="B487" s="27">
        <v>46021</v>
      </c>
      <c r="C487" t="s">
        <v>780</v>
      </c>
      <c r="D487" t="s">
        <v>772</v>
      </c>
      <c r="E487" t="s">
        <v>741</v>
      </c>
      <c r="F487" t="s">
        <v>736</v>
      </c>
    </row>
    <row r="488" spans="1:7" x14ac:dyDescent="0.15">
      <c r="A488" s="27">
        <v>46021</v>
      </c>
      <c r="B488" s="27">
        <v>46023</v>
      </c>
      <c r="C488" t="s">
        <v>1187</v>
      </c>
      <c r="D488" t="s">
        <v>772</v>
      </c>
      <c r="F488" t="s">
        <v>1192</v>
      </c>
      <c r="G488" t="s">
        <v>1193</v>
      </c>
    </row>
    <row r="489" spans="1:7" x14ac:dyDescent="0.15">
      <c r="A489" s="27">
        <v>46021</v>
      </c>
      <c r="B489" s="27">
        <v>46021</v>
      </c>
      <c r="C489" t="s">
        <v>780</v>
      </c>
      <c r="D489" t="s">
        <v>772</v>
      </c>
      <c r="E489" t="s">
        <v>741</v>
      </c>
      <c r="F489" t="s">
        <v>736</v>
      </c>
    </row>
    <row r="490" spans="1:7" x14ac:dyDescent="0.15">
      <c r="A490" s="27">
        <v>46021</v>
      </c>
      <c r="B490" s="27">
        <v>46023</v>
      </c>
      <c r="C490" t="s">
        <v>1175</v>
      </c>
      <c r="D490" t="s">
        <v>772</v>
      </c>
      <c r="F490" t="s">
        <v>1192</v>
      </c>
      <c r="G490" t="s">
        <v>1193</v>
      </c>
    </row>
    <row r="491" spans="1:7" x14ac:dyDescent="0.15">
      <c r="A491" s="27">
        <v>46021</v>
      </c>
      <c r="B491" s="27">
        <v>46021</v>
      </c>
      <c r="C491" t="s">
        <v>780</v>
      </c>
      <c r="D491" t="s">
        <v>772</v>
      </c>
      <c r="E491" t="s">
        <v>741</v>
      </c>
      <c r="F491" t="s">
        <v>736</v>
      </c>
    </row>
    <row r="492" spans="1:7" x14ac:dyDescent="0.15">
      <c r="A492" s="27">
        <v>46021</v>
      </c>
      <c r="B492" s="27">
        <v>46021</v>
      </c>
      <c r="C492" t="s">
        <v>1233</v>
      </c>
      <c r="D492" t="s">
        <v>741</v>
      </c>
      <c r="E492" t="s">
        <v>772</v>
      </c>
      <c r="F492" t="s">
        <v>736</v>
      </c>
    </row>
    <row r="493" spans="1:7" x14ac:dyDescent="0.15">
      <c r="A493" s="27">
        <v>46021</v>
      </c>
      <c r="B493" s="27">
        <v>46021</v>
      </c>
      <c r="C493" t="s">
        <v>1233</v>
      </c>
      <c r="D493" t="s">
        <v>741</v>
      </c>
      <c r="E493" t="s">
        <v>772</v>
      </c>
      <c r="F493" t="s">
        <v>736</v>
      </c>
    </row>
    <row r="494" spans="1:7" x14ac:dyDescent="0.15">
      <c r="A494" s="27">
        <v>46021</v>
      </c>
      <c r="B494" s="27">
        <v>46021</v>
      </c>
      <c r="C494" t="s">
        <v>1233</v>
      </c>
      <c r="D494" t="s">
        <v>741</v>
      </c>
      <c r="E494" t="s">
        <v>772</v>
      </c>
      <c r="F494" t="s">
        <v>736</v>
      </c>
    </row>
    <row r="495" spans="1:7" x14ac:dyDescent="0.15">
      <c r="A495" s="27">
        <v>46021</v>
      </c>
      <c r="B495" s="27">
        <v>46021</v>
      </c>
      <c r="C495" t="s">
        <v>1233</v>
      </c>
      <c r="D495" t="s">
        <v>741</v>
      </c>
      <c r="E495" t="s">
        <v>772</v>
      </c>
      <c r="F495" t="s">
        <v>736</v>
      </c>
    </row>
    <row r="496" spans="1:7" x14ac:dyDescent="0.15">
      <c r="A496" s="27">
        <v>46021</v>
      </c>
      <c r="B496" s="27">
        <v>46021</v>
      </c>
      <c r="C496" t="s">
        <v>1233</v>
      </c>
      <c r="D496" t="s">
        <v>741</v>
      </c>
      <c r="E496" t="s">
        <v>772</v>
      </c>
      <c r="F496" t="s">
        <v>736</v>
      </c>
    </row>
    <row r="497" spans="1:7" x14ac:dyDescent="0.15">
      <c r="A497" s="27">
        <v>46021</v>
      </c>
      <c r="B497" s="27">
        <v>46021</v>
      </c>
      <c r="C497" t="s">
        <v>1233</v>
      </c>
      <c r="D497" t="s">
        <v>741</v>
      </c>
      <c r="E497" t="s">
        <v>772</v>
      </c>
      <c r="F497" t="s">
        <v>736</v>
      </c>
    </row>
    <row r="498" spans="1:7" x14ac:dyDescent="0.15">
      <c r="A498" s="27">
        <v>46021</v>
      </c>
      <c r="B498" s="27">
        <v>46021</v>
      </c>
      <c r="C498" t="s">
        <v>1233</v>
      </c>
      <c r="D498" t="s">
        <v>741</v>
      </c>
      <c r="E498" t="s">
        <v>772</v>
      </c>
      <c r="F498" t="s">
        <v>736</v>
      </c>
    </row>
    <row r="499" spans="1:7" x14ac:dyDescent="0.15">
      <c r="A499" s="27">
        <v>46021</v>
      </c>
      <c r="B499" s="27">
        <v>46021</v>
      </c>
      <c r="C499" t="s">
        <v>1233</v>
      </c>
      <c r="D499" t="s">
        <v>741</v>
      </c>
      <c r="E499" t="s">
        <v>772</v>
      </c>
      <c r="F499" t="s">
        <v>736</v>
      </c>
    </row>
    <row r="500" spans="1:7" x14ac:dyDescent="0.15">
      <c r="A500" s="27">
        <v>46021</v>
      </c>
      <c r="B500" s="27">
        <v>46021</v>
      </c>
      <c r="C500" t="s">
        <v>1233</v>
      </c>
      <c r="D500" t="s">
        <v>741</v>
      </c>
      <c r="E500" t="s">
        <v>772</v>
      </c>
      <c r="F500" t="s">
        <v>736</v>
      </c>
    </row>
    <row r="501" spans="1:7" x14ac:dyDescent="0.15">
      <c r="A501" s="27">
        <v>46021</v>
      </c>
      <c r="B501" s="27">
        <v>46021</v>
      </c>
      <c r="C501" t="s">
        <v>1233</v>
      </c>
      <c r="D501" t="s">
        <v>741</v>
      </c>
      <c r="E501" t="s">
        <v>772</v>
      </c>
      <c r="F501" t="s">
        <v>736</v>
      </c>
    </row>
    <row r="502" spans="1:7" x14ac:dyDescent="0.15">
      <c r="A502" s="27">
        <v>46021</v>
      </c>
      <c r="B502" s="27">
        <v>46021</v>
      </c>
      <c r="C502" t="s">
        <v>1233</v>
      </c>
      <c r="D502" t="s">
        <v>741</v>
      </c>
      <c r="E502" t="s">
        <v>772</v>
      </c>
      <c r="F502" t="s">
        <v>736</v>
      </c>
    </row>
    <row r="503" spans="1:7" x14ac:dyDescent="0.15">
      <c r="A503" s="27">
        <v>46021</v>
      </c>
      <c r="B503" s="27">
        <v>46021</v>
      </c>
      <c r="C503" t="s">
        <v>1233</v>
      </c>
      <c r="D503" t="s">
        <v>741</v>
      </c>
      <c r="E503" t="s">
        <v>772</v>
      </c>
      <c r="F503" t="s">
        <v>736</v>
      </c>
    </row>
    <row r="504" spans="1:7" x14ac:dyDescent="0.15">
      <c r="A504" s="27">
        <v>46021</v>
      </c>
      <c r="B504" s="27">
        <v>46021</v>
      </c>
      <c r="C504" t="s">
        <v>1233</v>
      </c>
      <c r="D504" t="s">
        <v>741</v>
      </c>
      <c r="E504" t="s">
        <v>772</v>
      </c>
      <c r="F504" t="s">
        <v>736</v>
      </c>
    </row>
    <row r="505" spans="1:7" x14ac:dyDescent="0.15">
      <c r="A505" s="27">
        <v>46021</v>
      </c>
      <c r="B505" s="27">
        <v>46021</v>
      </c>
      <c r="C505" t="s">
        <v>1233</v>
      </c>
      <c r="D505" t="s">
        <v>741</v>
      </c>
      <c r="E505" t="s">
        <v>772</v>
      </c>
      <c r="F505" t="s">
        <v>736</v>
      </c>
    </row>
    <row r="506" spans="1:7" x14ac:dyDescent="0.15">
      <c r="A506" s="27">
        <v>46022</v>
      </c>
      <c r="B506" s="27">
        <v>46023</v>
      </c>
      <c r="C506" t="s">
        <v>890</v>
      </c>
      <c r="D506" t="s">
        <v>772</v>
      </c>
      <c r="F506" t="s">
        <v>1198</v>
      </c>
      <c r="G506" t="s">
        <v>1199</v>
      </c>
    </row>
    <row r="507" spans="1:7" x14ac:dyDescent="0.15">
      <c r="A507" s="27">
        <v>46022</v>
      </c>
      <c r="B507" s="27">
        <v>46022</v>
      </c>
      <c r="C507" t="s">
        <v>1168</v>
      </c>
      <c r="D507" t="s">
        <v>772</v>
      </c>
      <c r="E507" t="s">
        <v>741</v>
      </c>
      <c r="F507" t="s">
        <v>736</v>
      </c>
    </row>
    <row r="508" spans="1:7" x14ac:dyDescent="0.15">
      <c r="A508" s="27">
        <v>46022</v>
      </c>
      <c r="B508" s="27">
        <v>46022</v>
      </c>
      <c r="C508" t="s">
        <v>869</v>
      </c>
      <c r="D508" t="s">
        <v>772</v>
      </c>
      <c r="E508" t="s">
        <v>811</v>
      </c>
      <c r="F508" t="s">
        <v>812</v>
      </c>
      <c r="G508" t="s">
        <v>1030</v>
      </c>
    </row>
    <row r="509" spans="1:7" x14ac:dyDescent="0.15">
      <c r="A509" s="27">
        <v>46022</v>
      </c>
      <c r="B509" s="27">
        <v>46023</v>
      </c>
      <c r="C509" t="s">
        <v>816</v>
      </c>
      <c r="D509" t="s">
        <v>772</v>
      </c>
      <c r="F509" t="s">
        <v>1200</v>
      </c>
      <c r="G509" t="s">
        <v>1201</v>
      </c>
    </row>
    <row r="510" spans="1:7" x14ac:dyDescent="0.15">
      <c r="A510" s="27">
        <v>46022</v>
      </c>
      <c r="B510" s="27">
        <v>46023</v>
      </c>
      <c r="C510" t="s">
        <v>1202</v>
      </c>
      <c r="D510" t="s">
        <v>772</v>
      </c>
      <c r="F510" t="s">
        <v>1203</v>
      </c>
      <c r="G510" t="s">
        <v>1204</v>
      </c>
    </row>
    <row r="511" spans="1:7" x14ac:dyDescent="0.15">
      <c r="A511" s="27">
        <v>46022</v>
      </c>
      <c r="B511" s="27">
        <v>46022</v>
      </c>
      <c r="C511" t="s">
        <v>780</v>
      </c>
      <c r="D511" t="s">
        <v>772</v>
      </c>
      <c r="E511" t="s">
        <v>741</v>
      </c>
      <c r="F511" t="s">
        <v>736</v>
      </c>
    </row>
    <row r="512" spans="1:7" x14ac:dyDescent="0.15">
      <c r="A512" s="27">
        <v>46022</v>
      </c>
      <c r="B512" s="27">
        <v>46023</v>
      </c>
      <c r="C512" t="s">
        <v>1205</v>
      </c>
      <c r="D512" t="s">
        <v>772</v>
      </c>
      <c r="F512" t="s">
        <v>1206</v>
      </c>
      <c r="G512" t="s">
        <v>1207</v>
      </c>
    </row>
    <row r="513" spans="1:7" x14ac:dyDescent="0.15">
      <c r="A513" s="27">
        <v>46022</v>
      </c>
      <c r="B513" s="27">
        <v>46022</v>
      </c>
      <c r="C513" t="s">
        <v>861</v>
      </c>
      <c r="D513" t="s">
        <v>772</v>
      </c>
      <c r="E513" t="s">
        <v>741</v>
      </c>
      <c r="F513" t="s">
        <v>736</v>
      </c>
    </row>
    <row r="514" spans="1:7" x14ac:dyDescent="0.15">
      <c r="A514" s="27">
        <v>46022</v>
      </c>
      <c r="B514" s="27">
        <v>46023</v>
      </c>
      <c r="C514" t="s">
        <v>1208</v>
      </c>
      <c r="D514" t="s">
        <v>772</v>
      </c>
      <c r="F514" t="s">
        <v>1209</v>
      </c>
      <c r="G514" t="s">
        <v>1210</v>
      </c>
    </row>
    <row r="515" spans="1:7" x14ac:dyDescent="0.15">
      <c r="A515" s="27">
        <v>46022</v>
      </c>
      <c r="B515" s="27">
        <v>46022</v>
      </c>
      <c r="C515" t="s">
        <v>1211</v>
      </c>
      <c r="D515" t="s">
        <v>772</v>
      </c>
      <c r="E515" t="s">
        <v>741</v>
      </c>
      <c r="F515" t="s">
        <v>736</v>
      </c>
    </row>
    <row r="516" spans="1:7" x14ac:dyDescent="0.15">
      <c r="A516" s="27">
        <v>46022</v>
      </c>
      <c r="B516" s="27">
        <v>46022</v>
      </c>
      <c r="C516" t="s">
        <v>1274</v>
      </c>
      <c r="D516" t="s">
        <v>741</v>
      </c>
      <c r="E516" t="s">
        <v>772</v>
      </c>
      <c r="F516" t="s">
        <v>736</v>
      </c>
    </row>
    <row r="517" spans="1:7" x14ac:dyDescent="0.15">
      <c r="A517" s="27">
        <v>46022</v>
      </c>
      <c r="B517" s="27">
        <v>46022</v>
      </c>
      <c r="C517" t="s">
        <v>1233</v>
      </c>
      <c r="D517" t="s">
        <v>741</v>
      </c>
      <c r="E517" t="s">
        <v>772</v>
      </c>
      <c r="F517" t="s">
        <v>736</v>
      </c>
    </row>
    <row r="518" spans="1:7" x14ac:dyDescent="0.15">
      <c r="A518" s="27">
        <v>46022</v>
      </c>
      <c r="B518" s="27">
        <v>46022</v>
      </c>
      <c r="C518" t="s">
        <v>1264</v>
      </c>
      <c r="D518" t="s">
        <v>741</v>
      </c>
      <c r="E518" t="s">
        <v>772</v>
      </c>
      <c r="F518" t="s">
        <v>736</v>
      </c>
    </row>
    <row r="519" spans="1:7" x14ac:dyDescent="0.15">
      <c r="A519" s="27">
        <v>46022</v>
      </c>
      <c r="B519" s="27">
        <v>46022</v>
      </c>
      <c r="C519" t="s">
        <v>1275</v>
      </c>
      <c r="D519" t="s">
        <v>741</v>
      </c>
      <c r="E519" t="s">
        <v>772</v>
      </c>
      <c r="F519" t="s">
        <v>736</v>
      </c>
    </row>
    <row r="520" spans="1:7" x14ac:dyDescent="0.15">
      <c r="A520" s="27">
        <v>46023</v>
      </c>
      <c r="B520" s="27">
        <v>46054</v>
      </c>
      <c r="C520" t="s">
        <v>1212</v>
      </c>
      <c r="D520" t="s">
        <v>772</v>
      </c>
      <c r="F520" t="s">
        <v>1213</v>
      </c>
      <c r="G520" t="s">
        <v>1214</v>
      </c>
    </row>
    <row r="521" spans="1:7" x14ac:dyDescent="0.15">
      <c r="A521" s="27">
        <v>46023</v>
      </c>
      <c r="B521" s="27">
        <v>46023</v>
      </c>
      <c r="C521" t="s">
        <v>780</v>
      </c>
      <c r="D521" t="s">
        <v>772</v>
      </c>
      <c r="E521" t="s">
        <v>741</v>
      </c>
      <c r="F521" t="s">
        <v>736</v>
      </c>
    </row>
    <row r="522" spans="1:7" x14ac:dyDescent="0.15">
      <c r="A522" s="27">
        <v>46023</v>
      </c>
      <c r="B522" s="27">
        <v>46054</v>
      </c>
      <c r="C522" t="s">
        <v>1172</v>
      </c>
      <c r="D522" t="s">
        <v>772</v>
      </c>
      <c r="F522" t="s">
        <v>1215</v>
      </c>
      <c r="G522" t="s">
        <v>1216</v>
      </c>
    </row>
    <row r="523" spans="1:7" x14ac:dyDescent="0.15">
      <c r="A523" s="27">
        <v>46023</v>
      </c>
      <c r="B523" s="27">
        <v>46023</v>
      </c>
      <c r="C523" t="s">
        <v>780</v>
      </c>
      <c r="D523" t="s">
        <v>772</v>
      </c>
      <c r="E523" t="s">
        <v>741</v>
      </c>
      <c r="F523" t="s">
        <v>736</v>
      </c>
    </row>
    <row r="524" spans="1:7" x14ac:dyDescent="0.15">
      <c r="A524" s="27">
        <v>46023</v>
      </c>
      <c r="B524" s="27">
        <v>46054</v>
      </c>
      <c r="C524" t="s">
        <v>1217</v>
      </c>
      <c r="D524" t="s">
        <v>772</v>
      </c>
      <c r="F524" t="s">
        <v>1190</v>
      </c>
      <c r="G524" t="s">
        <v>1191</v>
      </c>
    </row>
    <row r="525" spans="1:7" x14ac:dyDescent="0.15">
      <c r="A525" s="27">
        <v>46023</v>
      </c>
      <c r="B525" s="27">
        <v>46023</v>
      </c>
      <c r="C525" t="s">
        <v>937</v>
      </c>
      <c r="D525" t="s">
        <v>772</v>
      </c>
      <c r="E525" t="s">
        <v>741</v>
      </c>
      <c r="F525" t="s">
        <v>736</v>
      </c>
    </row>
    <row r="526" spans="1:7" x14ac:dyDescent="0.15">
      <c r="A526" s="27">
        <v>46023</v>
      </c>
      <c r="B526" s="27">
        <v>46054</v>
      </c>
      <c r="C526" t="s">
        <v>998</v>
      </c>
      <c r="D526" t="s">
        <v>772</v>
      </c>
      <c r="F526" t="s">
        <v>1215</v>
      </c>
      <c r="G526" t="s">
        <v>1216</v>
      </c>
    </row>
    <row r="527" spans="1:7" x14ac:dyDescent="0.15">
      <c r="A527" s="27">
        <v>46023</v>
      </c>
      <c r="B527" s="27">
        <v>46023</v>
      </c>
      <c r="C527" t="s">
        <v>780</v>
      </c>
      <c r="D527" t="s">
        <v>772</v>
      </c>
      <c r="E527" t="s">
        <v>741</v>
      </c>
      <c r="F527" t="s">
        <v>736</v>
      </c>
    </row>
    <row r="528" spans="1:7" x14ac:dyDescent="0.15">
      <c r="A528" s="27">
        <v>46023</v>
      </c>
      <c r="B528" s="27">
        <v>46054</v>
      </c>
      <c r="C528" t="s">
        <v>998</v>
      </c>
      <c r="D528" t="s">
        <v>772</v>
      </c>
      <c r="F528" t="s">
        <v>1215</v>
      </c>
      <c r="G528" t="s">
        <v>1216</v>
      </c>
    </row>
    <row r="529" spans="1:7" x14ac:dyDescent="0.15">
      <c r="A529" s="27">
        <v>46023</v>
      </c>
      <c r="B529" s="27">
        <v>46023</v>
      </c>
      <c r="C529" t="s">
        <v>780</v>
      </c>
      <c r="D529" t="s">
        <v>772</v>
      </c>
      <c r="E529" t="s">
        <v>741</v>
      </c>
      <c r="F529" t="s">
        <v>736</v>
      </c>
    </row>
    <row r="530" spans="1:7" x14ac:dyDescent="0.15">
      <c r="A530" s="27">
        <v>46023</v>
      </c>
      <c r="B530" s="27">
        <v>46054</v>
      </c>
      <c r="C530" t="s">
        <v>1218</v>
      </c>
      <c r="D530" t="s">
        <v>772</v>
      </c>
      <c r="F530" t="s">
        <v>1219</v>
      </c>
      <c r="G530" t="s">
        <v>1220</v>
      </c>
    </row>
    <row r="531" spans="1:7" x14ac:dyDescent="0.15">
      <c r="A531" s="27">
        <v>46023</v>
      </c>
      <c r="B531" s="27">
        <v>46023</v>
      </c>
      <c r="C531" t="s">
        <v>740</v>
      </c>
      <c r="D531" t="s">
        <v>772</v>
      </c>
      <c r="E531" t="s">
        <v>741</v>
      </c>
      <c r="F531" t="s">
        <v>736</v>
      </c>
    </row>
    <row r="532" spans="1:7" x14ac:dyDescent="0.15">
      <c r="A532" s="27">
        <v>46023</v>
      </c>
      <c r="B532" s="27">
        <v>46054</v>
      </c>
      <c r="C532" t="s">
        <v>998</v>
      </c>
      <c r="D532" t="s">
        <v>772</v>
      </c>
      <c r="F532" t="s">
        <v>1219</v>
      </c>
      <c r="G532" t="s">
        <v>1220</v>
      </c>
    </row>
    <row r="533" spans="1:7" x14ac:dyDescent="0.15">
      <c r="A533" s="27">
        <v>46023</v>
      </c>
      <c r="B533" s="27">
        <v>46023</v>
      </c>
      <c r="C533" t="s">
        <v>780</v>
      </c>
      <c r="D533" t="s">
        <v>772</v>
      </c>
      <c r="E533" t="s">
        <v>741</v>
      </c>
      <c r="F533" t="s">
        <v>736</v>
      </c>
    </row>
    <row r="534" spans="1:7" x14ac:dyDescent="0.15">
      <c r="A534" s="27">
        <v>46023</v>
      </c>
      <c r="B534" s="27">
        <v>46054</v>
      </c>
      <c r="C534" t="s">
        <v>927</v>
      </c>
      <c r="D534" t="s">
        <v>772</v>
      </c>
      <c r="F534" t="s">
        <v>1188</v>
      </c>
      <c r="G534" t="s">
        <v>1189</v>
      </c>
    </row>
    <row r="535" spans="1:7" x14ac:dyDescent="0.15">
      <c r="A535" s="27">
        <v>46023</v>
      </c>
      <c r="B535" s="27">
        <v>46023</v>
      </c>
      <c r="C535" t="s">
        <v>780</v>
      </c>
      <c r="D535" t="s">
        <v>772</v>
      </c>
      <c r="E535" t="s">
        <v>741</v>
      </c>
      <c r="F535" t="s">
        <v>736</v>
      </c>
    </row>
    <row r="536" spans="1:7" x14ac:dyDescent="0.15">
      <c r="A536" s="27">
        <v>46023</v>
      </c>
      <c r="B536" s="27">
        <v>46054</v>
      </c>
      <c r="C536" t="s">
        <v>1221</v>
      </c>
      <c r="D536" t="s">
        <v>772</v>
      </c>
      <c r="F536" t="s">
        <v>1196</v>
      </c>
      <c r="G536" t="s">
        <v>1197</v>
      </c>
    </row>
    <row r="537" spans="1:7" x14ac:dyDescent="0.15">
      <c r="A537" s="27">
        <v>46023</v>
      </c>
      <c r="B537" s="27">
        <v>46023</v>
      </c>
      <c r="C537" t="s">
        <v>937</v>
      </c>
      <c r="D537" t="s">
        <v>772</v>
      </c>
      <c r="E537" t="s">
        <v>741</v>
      </c>
      <c r="F537" t="s">
        <v>736</v>
      </c>
    </row>
    <row r="538" spans="1:7" x14ac:dyDescent="0.15">
      <c r="A538" s="27">
        <v>46023</v>
      </c>
      <c r="B538" s="27">
        <v>46023</v>
      </c>
      <c r="C538" t="s">
        <v>1233</v>
      </c>
      <c r="D538" t="s">
        <v>741</v>
      </c>
      <c r="E538" t="s">
        <v>772</v>
      </c>
      <c r="F538" t="s">
        <v>736</v>
      </c>
    </row>
    <row r="539" spans="1:7" x14ac:dyDescent="0.15">
      <c r="A539" s="27">
        <v>46023</v>
      </c>
      <c r="B539" s="27">
        <v>46023</v>
      </c>
      <c r="C539" t="s">
        <v>1233</v>
      </c>
      <c r="D539" t="s">
        <v>741</v>
      </c>
      <c r="E539" t="s">
        <v>772</v>
      </c>
      <c r="F539" t="s">
        <v>736</v>
      </c>
    </row>
    <row r="540" spans="1:7" x14ac:dyDescent="0.15">
      <c r="A540" s="27">
        <v>46023</v>
      </c>
      <c r="B540" s="27">
        <v>46023</v>
      </c>
      <c r="C540" t="s">
        <v>1239</v>
      </c>
      <c r="D540" t="s">
        <v>741</v>
      </c>
      <c r="E540" t="s">
        <v>772</v>
      </c>
      <c r="F540" t="s">
        <v>736</v>
      </c>
    </row>
    <row r="541" spans="1:7" x14ac:dyDescent="0.15">
      <c r="A541" s="27">
        <v>46023</v>
      </c>
      <c r="B541" s="27">
        <v>46023</v>
      </c>
      <c r="C541" t="s">
        <v>1233</v>
      </c>
      <c r="D541" t="s">
        <v>741</v>
      </c>
      <c r="E541" t="s">
        <v>772</v>
      </c>
      <c r="F541" t="s">
        <v>736</v>
      </c>
    </row>
    <row r="542" spans="1:7" x14ac:dyDescent="0.15">
      <c r="A542" s="27">
        <v>46023</v>
      </c>
      <c r="B542" s="27">
        <v>46023</v>
      </c>
      <c r="C542" t="s">
        <v>1233</v>
      </c>
      <c r="D542" t="s">
        <v>741</v>
      </c>
      <c r="E542" t="s">
        <v>772</v>
      </c>
      <c r="F542" t="s">
        <v>736</v>
      </c>
    </row>
    <row r="543" spans="1:7" x14ac:dyDescent="0.15">
      <c r="A543" s="27">
        <v>46023</v>
      </c>
      <c r="B543" s="27">
        <v>46023</v>
      </c>
      <c r="C543" t="s">
        <v>1229</v>
      </c>
      <c r="D543" t="s">
        <v>741</v>
      </c>
      <c r="E543" t="s">
        <v>772</v>
      </c>
      <c r="F543" t="s">
        <v>736</v>
      </c>
    </row>
    <row r="544" spans="1:7" x14ac:dyDescent="0.15">
      <c r="A544" s="27">
        <v>46023</v>
      </c>
      <c r="B544" s="27">
        <v>46023</v>
      </c>
      <c r="C544" t="s">
        <v>1233</v>
      </c>
      <c r="D544" t="s">
        <v>741</v>
      </c>
      <c r="E544" t="s">
        <v>772</v>
      </c>
      <c r="F544" t="s">
        <v>736</v>
      </c>
    </row>
    <row r="545" spans="1:7" x14ac:dyDescent="0.15">
      <c r="A545" s="27">
        <v>46023</v>
      </c>
      <c r="B545" s="27">
        <v>46023</v>
      </c>
      <c r="C545" t="s">
        <v>1233</v>
      </c>
      <c r="D545" t="s">
        <v>741</v>
      </c>
      <c r="E545" t="s">
        <v>772</v>
      </c>
      <c r="F545" t="s">
        <v>736</v>
      </c>
    </row>
    <row r="546" spans="1:7" x14ac:dyDescent="0.15">
      <c r="A546" s="27">
        <v>46023</v>
      </c>
      <c r="B546" s="27">
        <v>46023</v>
      </c>
      <c r="C546" t="s">
        <v>1239</v>
      </c>
      <c r="D546" t="s">
        <v>741</v>
      </c>
      <c r="E546" t="s">
        <v>772</v>
      </c>
      <c r="F546" t="s">
        <v>736</v>
      </c>
    </row>
    <row r="547" spans="1:7" x14ac:dyDescent="0.15">
      <c r="A547" s="27">
        <v>46024</v>
      </c>
      <c r="B547" s="27">
        <v>46024</v>
      </c>
      <c r="C547" t="s">
        <v>1222</v>
      </c>
      <c r="D547" t="s">
        <v>772</v>
      </c>
      <c r="E547" t="s">
        <v>811</v>
      </c>
      <c r="F547" t="s">
        <v>812</v>
      </c>
      <c r="G547" t="s">
        <v>1030</v>
      </c>
    </row>
    <row r="548" spans="1:7" x14ac:dyDescent="0.15">
      <c r="A548" s="27">
        <v>46024</v>
      </c>
      <c r="B548" s="27">
        <v>46054</v>
      </c>
      <c r="C548" t="s">
        <v>1151</v>
      </c>
      <c r="D548" t="s">
        <v>772</v>
      </c>
      <c r="F548" t="s">
        <v>1152</v>
      </c>
      <c r="G548" t="s">
        <v>1153</v>
      </c>
    </row>
    <row r="549" spans="1:7" x14ac:dyDescent="0.15">
      <c r="A549" s="27">
        <v>46024</v>
      </c>
      <c r="B549" s="27">
        <v>46024</v>
      </c>
      <c r="C549" t="s">
        <v>911</v>
      </c>
      <c r="D549" t="s">
        <v>772</v>
      </c>
      <c r="E549" t="s">
        <v>741</v>
      </c>
      <c r="F549" t="s">
        <v>736</v>
      </c>
    </row>
    <row r="550" spans="1:7" x14ac:dyDescent="0.15">
      <c r="A550" s="27">
        <v>46024</v>
      </c>
      <c r="B550" s="27">
        <v>46054</v>
      </c>
      <c r="C550" t="s">
        <v>1151</v>
      </c>
      <c r="D550" t="s">
        <v>772</v>
      </c>
      <c r="F550" t="s">
        <v>1152</v>
      </c>
      <c r="G550" t="s">
        <v>1153</v>
      </c>
    </row>
    <row r="551" spans="1:7" x14ac:dyDescent="0.15">
      <c r="A551" s="27">
        <v>46024</v>
      </c>
      <c r="B551" s="27">
        <v>46024</v>
      </c>
      <c r="C551" t="s">
        <v>911</v>
      </c>
      <c r="D551" t="s">
        <v>772</v>
      </c>
      <c r="E551" t="s">
        <v>741</v>
      </c>
      <c r="F551" t="s">
        <v>736</v>
      </c>
    </row>
    <row r="552" spans="1:7" x14ac:dyDescent="0.15">
      <c r="A552" s="27">
        <v>46024</v>
      </c>
      <c r="B552" s="27">
        <v>46054</v>
      </c>
      <c r="C552" t="s">
        <v>872</v>
      </c>
      <c r="D552" t="s">
        <v>772</v>
      </c>
      <c r="F552" t="s">
        <v>1192</v>
      </c>
      <c r="G552" t="s">
        <v>1193</v>
      </c>
    </row>
    <row r="553" spans="1:7" x14ac:dyDescent="0.15">
      <c r="A553" s="27">
        <v>46024</v>
      </c>
      <c r="B553" s="27">
        <v>46024</v>
      </c>
      <c r="C553" t="s">
        <v>1236</v>
      </c>
      <c r="D553" t="s">
        <v>741</v>
      </c>
      <c r="E553" t="s">
        <v>772</v>
      </c>
      <c r="F553" t="s">
        <v>736</v>
      </c>
    </row>
    <row r="554" spans="1:7" x14ac:dyDescent="0.15">
      <c r="A554" s="27">
        <v>46024</v>
      </c>
      <c r="B554" s="27">
        <v>46024</v>
      </c>
      <c r="C554" t="s">
        <v>1236</v>
      </c>
      <c r="D554" t="s">
        <v>741</v>
      </c>
      <c r="E554" t="s">
        <v>772</v>
      </c>
      <c r="F554" t="s">
        <v>736</v>
      </c>
    </row>
    <row r="555" spans="1:7" x14ac:dyDescent="0.15">
      <c r="A555" s="27">
        <v>46025</v>
      </c>
      <c r="B555" s="27">
        <v>46025</v>
      </c>
      <c r="C555" t="s">
        <v>869</v>
      </c>
      <c r="D555" t="s">
        <v>735</v>
      </c>
      <c r="E555" t="s">
        <v>772</v>
      </c>
      <c r="F555" t="s">
        <v>736</v>
      </c>
    </row>
    <row r="556" spans="1:7" x14ac:dyDescent="0.15">
      <c r="A556" s="27">
        <v>46025</v>
      </c>
      <c r="B556" s="27">
        <v>46025</v>
      </c>
      <c r="C556" t="s">
        <v>1072</v>
      </c>
      <c r="D556" t="s">
        <v>735</v>
      </c>
      <c r="E556" t="s">
        <v>772</v>
      </c>
      <c r="F556" t="s">
        <v>736</v>
      </c>
    </row>
    <row r="557" spans="1:7" x14ac:dyDescent="0.15">
      <c r="A557" s="27">
        <v>46025</v>
      </c>
      <c r="B557" s="27">
        <v>46025</v>
      </c>
      <c r="C557" t="s">
        <v>892</v>
      </c>
      <c r="D557" t="s">
        <v>735</v>
      </c>
      <c r="E557" t="s">
        <v>765</v>
      </c>
      <c r="F557" t="s">
        <v>912</v>
      </c>
    </row>
    <row r="558" spans="1:7" x14ac:dyDescent="0.15">
      <c r="A558" s="27">
        <v>46025</v>
      </c>
      <c r="B558" s="27">
        <v>46025</v>
      </c>
      <c r="C558" t="s">
        <v>892</v>
      </c>
      <c r="D558" t="s">
        <v>735</v>
      </c>
      <c r="E558" t="s">
        <v>795</v>
      </c>
      <c r="F558" t="s">
        <v>913</v>
      </c>
    </row>
    <row r="559" spans="1:7" x14ac:dyDescent="0.15">
      <c r="A559" s="27">
        <v>46025</v>
      </c>
      <c r="B559" s="27">
        <v>46023</v>
      </c>
      <c r="C559" t="s">
        <v>1223</v>
      </c>
      <c r="D559" t="s">
        <v>772</v>
      </c>
      <c r="F559" t="s">
        <v>1155</v>
      </c>
      <c r="G559" t="s">
        <v>1224</v>
      </c>
    </row>
    <row r="560" spans="1:7" x14ac:dyDescent="0.15">
      <c r="A560" s="27">
        <v>46025</v>
      </c>
      <c r="B560" s="27">
        <v>46023</v>
      </c>
      <c r="C560" t="s">
        <v>1225</v>
      </c>
      <c r="D560" t="s">
        <v>772</v>
      </c>
      <c r="F560" t="s">
        <v>1155</v>
      </c>
      <c r="G560" t="s">
        <v>1156</v>
      </c>
    </row>
    <row r="561" spans="1:7" x14ac:dyDescent="0.15">
      <c r="A561" s="27">
        <v>46025</v>
      </c>
      <c r="B561" s="27">
        <v>46025</v>
      </c>
      <c r="C561" t="s">
        <v>814</v>
      </c>
      <c r="D561" t="s">
        <v>772</v>
      </c>
      <c r="E561" t="s">
        <v>735</v>
      </c>
      <c r="F561" t="s">
        <v>815</v>
      </c>
    </row>
    <row r="562" spans="1:7" x14ac:dyDescent="0.15">
      <c r="A562" s="27">
        <v>46025</v>
      </c>
      <c r="B562" s="27">
        <v>46025</v>
      </c>
      <c r="C562" t="s">
        <v>1226</v>
      </c>
      <c r="D562" t="s">
        <v>772</v>
      </c>
      <c r="E562" t="s">
        <v>735</v>
      </c>
      <c r="F562" t="s">
        <v>815</v>
      </c>
    </row>
    <row r="563" spans="1:7" x14ac:dyDescent="0.15">
      <c r="A563" s="27">
        <v>46026</v>
      </c>
      <c r="B563" s="27">
        <v>46054</v>
      </c>
      <c r="C563" t="s">
        <v>1227</v>
      </c>
      <c r="D563" t="s">
        <v>772</v>
      </c>
      <c r="F563" t="s">
        <v>1215</v>
      </c>
      <c r="G563" t="s">
        <v>1216</v>
      </c>
    </row>
    <row r="564" spans="1:7" x14ac:dyDescent="0.15">
      <c r="A564" s="27">
        <v>46026</v>
      </c>
      <c r="B564" s="27">
        <v>46054</v>
      </c>
      <c r="C564" t="s">
        <v>1228</v>
      </c>
      <c r="D564" t="s">
        <v>772</v>
      </c>
      <c r="F564" t="s">
        <v>1215</v>
      </c>
      <c r="G564" t="s">
        <v>1216</v>
      </c>
    </row>
    <row r="565" spans="1:7" x14ac:dyDescent="0.15">
      <c r="A565" s="27">
        <v>46027</v>
      </c>
      <c r="B565" s="27">
        <v>46027</v>
      </c>
      <c r="C565" t="s">
        <v>1050</v>
      </c>
      <c r="D565" t="s">
        <v>735</v>
      </c>
      <c r="E565" t="s">
        <v>1008</v>
      </c>
      <c r="F565" t="s">
        <v>1009</v>
      </c>
      <c r="G565" t="s">
        <v>1010</v>
      </c>
    </row>
    <row r="566" spans="1:7" x14ac:dyDescent="0.15">
      <c r="A566" s="27">
        <v>46027</v>
      </c>
      <c r="B566" s="27">
        <v>46027</v>
      </c>
      <c r="C566" t="s">
        <v>786</v>
      </c>
      <c r="D566" t="s">
        <v>735</v>
      </c>
      <c r="E566" t="s">
        <v>741</v>
      </c>
      <c r="F566" t="s">
        <v>736</v>
      </c>
    </row>
    <row r="567" spans="1:7" x14ac:dyDescent="0.15">
      <c r="A567" s="27">
        <v>46027</v>
      </c>
      <c r="B567" s="27">
        <v>46027</v>
      </c>
      <c r="C567" t="s">
        <v>1073</v>
      </c>
      <c r="D567" t="s">
        <v>735</v>
      </c>
      <c r="F567" t="s">
        <v>1074</v>
      </c>
      <c r="G567" t="s">
        <v>1075</v>
      </c>
    </row>
    <row r="568" spans="1:7" x14ac:dyDescent="0.15">
      <c r="A568" s="27">
        <v>46027</v>
      </c>
      <c r="B568" s="27">
        <v>46027</v>
      </c>
      <c r="C568" t="s">
        <v>782</v>
      </c>
      <c r="D568" t="s">
        <v>735</v>
      </c>
      <c r="E568" t="s">
        <v>741</v>
      </c>
      <c r="F568" t="s">
        <v>736</v>
      </c>
    </row>
    <row r="569" spans="1:7" x14ac:dyDescent="0.15">
      <c r="A569" s="27">
        <v>46027</v>
      </c>
      <c r="B569" s="27">
        <v>46027</v>
      </c>
      <c r="C569" t="s">
        <v>1076</v>
      </c>
      <c r="D569" t="s">
        <v>735</v>
      </c>
      <c r="F569" t="s">
        <v>827</v>
      </c>
      <c r="G569" t="s">
        <v>828</v>
      </c>
    </row>
    <row r="570" spans="1:7" x14ac:dyDescent="0.15">
      <c r="A570" s="27">
        <v>46027</v>
      </c>
      <c r="B570" s="27">
        <v>46027</v>
      </c>
      <c r="C570" t="s">
        <v>1077</v>
      </c>
      <c r="D570" t="s">
        <v>735</v>
      </c>
      <c r="E570" t="s">
        <v>741</v>
      </c>
      <c r="F570" t="s">
        <v>736</v>
      </c>
    </row>
    <row r="571" spans="1:7" x14ac:dyDescent="0.15">
      <c r="A571" s="27">
        <v>46027</v>
      </c>
      <c r="B571" s="27">
        <v>46027</v>
      </c>
      <c r="C571" t="s">
        <v>1249</v>
      </c>
      <c r="D571" t="s">
        <v>741</v>
      </c>
      <c r="E571" t="s">
        <v>735</v>
      </c>
      <c r="F571" t="s">
        <v>736</v>
      </c>
    </row>
    <row r="572" spans="1:7" x14ac:dyDescent="0.15">
      <c r="A572" s="27">
        <v>46027</v>
      </c>
      <c r="B572" s="27">
        <v>46027</v>
      </c>
      <c r="C572" t="s">
        <v>1244</v>
      </c>
      <c r="D572" t="s">
        <v>741</v>
      </c>
      <c r="E572" t="s">
        <v>735</v>
      </c>
      <c r="F572" t="s">
        <v>736</v>
      </c>
    </row>
    <row r="573" spans="1:7" x14ac:dyDescent="0.15">
      <c r="A573" s="27">
        <v>46027</v>
      </c>
      <c r="B573" s="27">
        <v>46027</v>
      </c>
      <c r="C573" t="s">
        <v>1276</v>
      </c>
      <c r="D573" t="s">
        <v>741</v>
      </c>
      <c r="E573" t="s">
        <v>735</v>
      </c>
      <c r="F573" t="s">
        <v>736</v>
      </c>
    </row>
    <row r="574" spans="1:7" x14ac:dyDescent="0.15">
      <c r="A574" s="27">
        <v>46028</v>
      </c>
      <c r="B574" s="27">
        <v>46028</v>
      </c>
      <c r="C574" t="s">
        <v>1078</v>
      </c>
      <c r="D574" t="s">
        <v>735</v>
      </c>
      <c r="F574" t="s">
        <v>1079</v>
      </c>
      <c r="G574" t="s">
        <v>1080</v>
      </c>
    </row>
    <row r="575" spans="1:7" x14ac:dyDescent="0.15">
      <c r="A575" s="27">
        <v>46028</v>
      </c>
      <c r="B575" s="27">
        <v>46028</v>
      </c>
      <c r="C575" t="s">
        <v>861</v>
      </c>
      <c r="D575" t="s">
        <v>735</v>
      </c>
      <c r="E575" t="s">
        <v>741</v>
      </c>
      <c r="F575" t="s">
        <v>736</v>
      </c>
    </row>
    <row r="576" spans="1:7" x14ac:dyDescent="0.15">
      <c r="A576" s="27">
        <v>46028</v>
      </c>
      <c r="B576" s="27">
        <v>46028</v>
      </c>
      <c r="C576" t="s">
        <v>1264</v>
      </c>
      <c r="D576" t="s">
        <v>741</v>
      </c>
      <c r="E576" t="s">
        <v>735</v>
      </c>
      <c r="F576" t="s">
        <v>736</v>
      </c>
    </row>
    <row r="577" spans="1:7" x14ac:dyDescent="0.15">
      <c r="A577" s="27">
        <v>46029</v>
      </c>
      <c r="B577" s="27">
        <v>46029</v>
      </c>
      <c r="C577" t="s">
        <v>1081</v>
      </c>
      <c r="D577" t="s">
        <v>735</v>
      </c>
      <c r="F577" t="s">
        <v>827</v>
      </c>
      <c r="G577" t="s">
        <v>828</v>
      </c>
    </row>
    <row r="578" spans="1:7" x14ac:dyDescent="0.15">
      <c r="A578" s="27">
        <v>46029</v>
      </c>
      <c r="B578" s="27">
        <v>46029</v>
      </c>
      <c r="C578" t="s">
        <v>1082</v>
      </c>
      <c r="D578" t="s">
        <v>735</v>
      </c>
      <c r="E578" t="s">
        <v>741</v>
      </c>
      <c r="F578" t="s">
        <v>736</v>
      </c>
    </row>
    <row r="579" spans="1:7" x14ac:dyDescent="0.15">
      <c r="A579" s="27">
        <v>46029</v>
      </c>
      <c r="B579" s="27">
        <v>46029</v>
      </c>
      <c r="C579" t="s">
        <v>1277</v>
      </c>
      <c r="D579" t="s">
        <v>741</v>
      </c>
      <c r="E579" t="s">
        <v>735</v>
      </c>
      <c r="F579" t="s">
        <v>736</v>
      </c>
    </row>
    <row r="580" spans="1:7" x14ac:dyDescent="0.15">
      <c r="A580" s="27">
        <v>46030</v>
      </c>
      <c r="B580" s="27">
        <v>46030</v>
      </c>
      <c r="C580" t="s">
        <v>1083</v>
      </c>
      <c r="D580" t="s">
        <v>735</v>
      </c>
      <c r="E580" t="s">
        <v>1056</v>
      </c>
      <c r="F580" t="s">
        <v>1057</v>
      </c>
      <c r="G580" t="s">
        <v>1084</v>
      </c>
    </row>
    <row r="581" spans="1:7" x14ac:dyDescent="0.15">
      <c r="A581" s="27">
        <v>46030</v>
      </c>
      <c r="B581" s="27">
        <v>46030</v>
      </c>
      <c r="C581" t="s">
        <v>1085</v>
      </c>
      <c r="D581" t="s">
        <v>735</v>
      </c>
      <c r="E581" t="s">
        <v>944</v>
      </c>
      <c r="F581" t="s">
        <v>945</v>
      </c>
      <c r="G581" t="s">
        <v>1086</v>
      </c>
    </row>
    <row r="582" spans="1:7" x14ac:dyDescent="0.15">
      <c r="A582" s="27">
        <v>46031</v>
      </c>
      <c r="B582" s="27">
        <v>46031</v>
      </c>
      <c r="C582" t="s">
        <v>1087</v>
      </c>
      <c r="D582" t="s">
        <v>735</v>
      </c>
      <c r="F582" t="s">
        <v>907</v>
      </c>
      <c r="G582" t="s">
        <v>908</v>
      </c>
    </row>
    <row r="583" spans="1:7" x14ac:dyDescent="0.15">
      <c r="A583" s="27">
        <v>46031</v>
      </c>
      <c r="B583" s="27">
        <v>46031</v>
      </c>
      <c r="C583" t="s">
        <v>780</v>
      </c>
      <c r="D583" t="s">
        <v>735</v>
      </c>
      <c r="E583" t="s">
        <v>741</v>
      </c>
      <c r="F583" t="s">
        <v>736</v>
      </c>
    </row>
    <row r="584" spans="1:7" x14ac:dyDescent="0.15">
      <c r="A584" s="27">
        <v>46031</v>
      </c>
      <c r="B584" s="27">
        <v>46031</v>
      </c>
      <c r="C584" t="s">
        <v>1233</v>
      </c>
      <c r="D584" t="s">
        <v>741</v>
      </c>
      <c r="E584" t="s">
        <v>735</v>
      </c>
      <c r="F584" t="s">
        <v>736</v>
      </c>
    </row>
    <row r="585" spans="1:7" x14ac:dyDescent="0.15">
      <c r="A585" s="27">
        <v>46032</v>
      </c>
      <c r="B585" s="27">
        <v>46032</v>
      </c>
      <c r="C585" t="s">
        <v>892</v>
      </c>
      <c r="D585" t="s">
        <v>735</v>
      </c>
      <c r="E585" t="s">
        <v>765</v>
      </c>
      <c r="F585" t="s">
        <v>912</v>
      </c>
    </row>
    <row r="586" spans="1:7" x14ac:dyDescent="0.15">
      <c r="A586" s="27">
        <v>46032</v>
      </c>
      <c r="B586" s="27">
        <v>46032</v>
      </c>
      <c r="C586" t="s">
        <v>892</v>
      </c>
      <c r="D586" t="s">
        <v>735</v>
      </c>
      <c r="E586" t="s">
        <v>795</v>
      </c>
      <c r="F586" t="s">
        <v>913</v>
      </c>
    </row>
    <row r="587" spans="1:7" x14ac:dyDescent="0.15">
      <c r="A587" s="27">
        <v>46032</v>
      </c>
      <c r="B587" s="27">
        <v>46032</v>
      </c>
      <c r="C587" t="s">
        <v>1088</v>
      </c>
      <c r="D587" t="s">
        <v>735</v>
      </c>
      <c r="F587" t="s">
        <v>827</v>
      </c>
      <c r="G587" t="s">
        <v>828</v>
      </c>
    </row>
    <row r="588" spans="1:7" x14ac:dyDescent="0.15">
      <c r="A588" s="27">
        <v>46032</v>
      </c>
      <c r="B588" s="27">
        <v>46032</v>
      </c>
      <c r="C588" t="s">
        <v>1089</v>
      </c>
      <c r="D588" t="s">
        <v>735</v>
      </c>
      <c r="E588" t="s">
        <v>741</v>
      </c>
      <c r="F588" t="s">
        <v>736</v>
      </c>
    </row>
    <row r="589" spans="1:7" x14ac:dyDescent="0.15">
      <c r="A589" s="27">
        <v>46032</v>
      </c>
      <c r="B589" s="27">
        <v>46032</v>
      </c>
      <c r="C589" t="s">
        <v>1278</v>
      </c>
      <c r="D589" t="s">
        <v>741</v>
      </c>
      <c r="E589" t="s">
        <v>735</v>
      </c>
      <c r="F589" t="s">
        <v>736</v>
      </c>
    </row>
  </sheetData>
  <autoFilter ref="A1:G589" xr:uid="{77EE1097-5406-484E-A6A5-8088581E2551}">
    <sortState xmlns:xlrd2="http://schemas.microsoft.com/office/spreadsheetml/2017/richdata2" ref="A2:G589">
      <sortCondition ref="A1:A589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D16C4-653B-8941-805B-789DFF7DAEA2}">
  <dimension ref="A1:C30"/>
  <sheetViews>
    <sheetView workbookViewId="0">
      <selection activeCell="A5" sqref="A5:C27"/>
    </sheetView>
  </sheetViews>
  <sheetFormatPr baseColWidth="10" defaultRowHeight="13" x14ac:dyDescent="0.15"/>
  <cols>
    <col min="1" max="1" width="49.33203125" bestFit="1" customWidth="1"/>
    <col min="2" max="2" width="12.33203125" customWidth="1"/>
    <col min="3" max="3" width="10.33203125" customWidth="1"/>
  </cols>
  <sheetData>
    <row r="1" spans="1:3" ht="18" x14ac:dyDescent="0.2">
      <c r="A1" s="8" t="s">
        <v>1279</v>
      </c>
    </row>
    <row r="2" spans="1:3" x14ac:dyDescent="0.15">
      <c r="A2" s="9" t="s">
        <v>464</v>
      </c>
    </row>
    <row r="3" spans="1:3" x14ac:dyDescent="0.15">
      <c r="A3" s="9" t="s">
        <v>1280</v>
      </c>
    </row>
    <row r="5" spans="1:3" x14ac:dyDescent="0.15">
      <c r="A5" s="10" t="s">
        <v>490</v>
      </c>
      <c r="B5" s="11" t="s">
        <v>467</v>
      </c>
      <c r="C5" s="11" t="s">
        <v>468</v>
      </c>
    </row>
    <row r="6" spans="1:3" x14ac:dyDescent="0.15">
      <c r="A6" t="s">
        <v>1281</v>
      </c>
      <c r="B6" s="13">
        <v>13.58</v>
      </c>
      <c r="C6" s="13">
        <f t="shared" ref="C6:C13" si="0">B6*12</f>
        <v>162.96</v>
      </c>
    </row>
    <row r="7" spans="1:3" x14ac:dyDescent="0.15">
      <c r="A7" t="s">
        <v>1282</v>
      </c>
      <c r="B7" s="13">
        <v>6.59</v>
      </c>
      <c r="C7" s="13">
        <f t="shared" si="0"/>
        <v>79.08</v>
      </c>
    </row>
    <row r="8" spans="1:3" x14ac:dyDescent="0.15">
      <c r="A8" t="s">
        <v>1283</v>
      </c>
      <c r="B8" s="13">
        <v>6.04</v>
      </c>
      <c r="C8" s="13">
        <f t="shared" si="0"/>
        <v>72.48</v>
      </c>
    </row>
    <row r="9" spans="1:3" x14ac:dyDescent="0.15">
      <c r="A9" t="s">
        <v>1284</v>
      </c>
      <c r="B9" s="13">
        <v>4.62</v>
      </c>
      <c r="C9" s="13">
        <f t="shared" si="0"/>
        <v>55.44</v>
      </c>
    </row>
    <row r="10" spans="1:3" x14ac:dyDescent="0.15">
      <c r="A10" t="s">
        <v>719</v>
      </c>
      <c r="B10" s="13">
        <v>3.35</v>
      </c>
      <c r="C10" s="13">
        <f t="shared" si="0"/>
        <v>40.200000000000003</v>
      </c>
    </row>
    <row r="11" spans="1:3" x14ac:dyDescent="0.15">
      <c r="A11" t="s">
        <v>1285</v>
      </c>
      <c r="B11" s="13">
        <v>3</v>
      </c>
      <c r="C11" s="13">
        <f t="shared" si="0"/>
        <v>36</v>
      </c>
    </row>
    <row r="12" spans="1:3" x14ac:dyDescent="0.15">
      <c r="A12" t="s">
        <v>1286</v>
      </c>
      <c r="B12" s="13">
        <v>1.54</v>
      </c>
      <c r="C12" s="13">
        <f t="shared" si="0"/>
        <v>18.48</v>
      </c>
    </row>
    <row r="13" spans="1:3" x14ac:dyDescent="0.15">
      <c r="A13" s="15" t="s">
        <v>1287</v>
      </c>
      <c r="B13" s="38">
        <v>28.99</v>
      </c>
      <c r="C13" s="38">
        <f t="shared" si="0"/>
        <v>347.88</v>
      </c>
    </row>
    <row r="14" spans="1:3" x14ac:dyDescent="0.15">
      <c r="A14" s="10" t="s">
        <v>720</v>
      </c>
      <c r="B14" s="22">
        <f>SUM(B6:B13)</f>
        <v>67.709999999999994</v>
      </c>
      <c r="C14" s="22">
        <f>SUM(C6:C13)</f>
        <v>812.52</v>
      </c>
    </row>
    <row r="16" spans="1:3" x14ac:dyDescent="0.15">
      <c r="A16" s="39" t="s">
        <v>1288</v>
      </c>
      <c r="B16" s="40" t="s">
        <v>467</v>
      </c>
    </row>
    <row r="17" spans="1:2" x14ac:dyDescent="0.15">
      <c r="A17" t="s">
        <v>912</v>
      </c>
      <c r="B17" s="13">
        <v>54</v>
      </c>
    </row>
    <row r="18" spans="1:2" x14ac:dyDescent="0.15">
      <c r="A18" t="s">
        <v>913</v>
      </c>
      <c r="B18" s="13">
        <v>51</v>
      </c>
    </row>
    <row r="19" spans="1:2" x14ac:dyDescent="0.15">
      <c r="A19" s="39" t="s">
        <v>1289</v>
      </c>
      <c r="B19" s="41">
        <v>105</v>
      </c>
    </row>
    <row r="21" spans="1:2" x14ac:dyDescent="0.15">
      <c r="A21" s="42" t="s">
        <v>721</v>
      </c>
      <c r="B21" s="43" t="s">
        <v>467</v>
      </c>
    </row>
    <row r="22" spans="1:2" x14ac:dyDescent="0.15">
      <c r="A22" t="s">
        <v>1290</v>
      </c>
      <c r="B22" s="13">
        <v>531</v>
      </c>
    </row>
    <row r="23" spans="1:2" x14ac:dyDescent="0.15">
      <c r="A23" t="s">
        <v>1291</v>
      </c>
      <c r="B23" s="13">
        <v>359</v>
      </c>
    </row>
    <row r="24" spans="1:2" x14ac:dyDescent="0.15">
      <c r="A24" t="s">
        <v>1292</v>
      </c>
      <c r="B24" s="13">
        <v>221</v>
      </c>
    </row>
    <row r="25" spans="1:2" x14ac:dyDescent="0.15">
      <c r="A25" t="s">
        <v>1293</v>
      </c>
      <c r="B25" s="13">
        <v>147</v>
      </c>
    </row>
    <row r="27" spans="1:2" x14ac:dyDescent="0.15">
      <c r="A27" s="44" t="s">
        <v>1294</v>
      </c>
      <c r="B27" s="45">
        <v>1710</v>
      </c>
    </row>
    <row r="29" spans="1:2" x14ac:dyDescent="0.15">
      <c r="A29" s="9" t="s">
        <v>1295</v>
      </c>
    </row>
    <row r="30" spans="1:2" x14ac:dyDescent="0.15">
      <c r="A30" s="9" t="s">
        <v>1296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abn</vt:lpstr>
      <vt:lpstr>Fixed Expenses Summary</vt:lpstr>
      <vt:lpstr>creditcard</vt:lpstr>
      <vt:lpstr>Credit Card Summary</vt:lpstr>
      <vt:lpstr>Bunq</vt:lpstr>
      <vt:lpstr>Bunq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Israel Roldan</cp:lastModifiedBy>
  <dcterms:created xsi:type="dcterms:W3CDTF">2026-01-10T23:34:18Z</dcterms:created>
  <dcterms:modified xsi:type="dcterms:W3CDTF">2026-01-12T08:45:47Z</dcterms:modified>
</cp:coreProperties>
</file>