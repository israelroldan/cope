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oederer-my.sharepoint.com/personal/b_verhagen_crowefoederer_nl/Documents/Documents/Tatoma/Claude/"/>
    </mc:Choice>
  </mc:AlternateContent>
  <xr:revisionPtr revIDLastSave="172" documentId="13_ncr:1_{139CA184-E953-4B06-8221-97B098584CA5}" xr6:coauthVersionLast="47" xr6:coauthVersionMax="47" xr10:uidLastSave="{9B7A2809-1C2D-4848-A7EB-1F7BBEF229CA}"/>
  <bookViews>
    <workbookView xWindow="-57720" yWindow="-120" windowWidth="29040" windowHeight="15720" xr2:uid="{13217768-B9DF-4AE0-959F-9B81FAB5EDD9}"/>
  </bookViews>
  <sheets>
    <sheet name="W&amp;V prognose" sheetId="6" r:id="rId1"/>
    <sheet name="W&amp;V" sheetId="9" r:id="rId2"/>
    <sheet name="Balans" sheetId="3" r:id="rId3"/>
    <sheet name="Klanten" sheetId="10" r:id="rId4"/>
    <sheet name="Leveranciers" sheetId="11" r:id="rId5"/>
  </sheets>
  <externalReferences>
    <externalReference r:id="rId6"/>
    <externalReference r:id="rId7"/>
    <externalReference r:id="rId8"/>
  </externalReferences>
  <definedNames>
    <definedName name="_Key1" localSheetId="2" hidden="1">#REF!</definedName>
    <definedName name="_Key1" localSheetId="1" hidden="1">#REF!</definedName>
    <definedName name="_Key1" localSheetId="0" hidden="1">#REF!</definedName>
    <definedName name="_Key1" hidden="1">#REF!</definedName>
    <definedName name="_Order1" hidden="1">255</definedName>
    <definedName name="_Sort" localSheetId="2" hidden="1">#REF!</definedName>
    <definedName name="_Sort" localSheetId="1" hidden="1">#REF!</definedName>
    <definedName name="_Sort" localSheetId="0" hidden="1">#REF!</definedName>
    <definedName name="_Sort" hidden="1">#REF!</definedName>
    <definedName name="_Table1_In1" localSheetId="2" hidden="1">#REF!</definedName>
    <definedName name="_Table1_In1" localSheetId="1" hidden="1">#REF!</definedName>
    <definedName name="_Table1_In1" localSheetId="0" hidden="1">#REF!</definedName>
    <definedName name="_Table1_In1" hidden="1">#REF!</definedName>
    <definedName name="_Table1_Out" localSheetId="2" hidden="1">#REF!</definedName>
    <definedName name="_Table1_Out" localSheetId="1" hidden="1">#REF!</definedName>
    <definedName name="_Table1_Out" localSheetId="0" hidden="1">#REF!</definedName>
    <definedName name="_Table1_Out" hidden="1">#REF!</definedName>
    <definedName name="Adjusted_EBITDA_Bridge">#REF!</definedName>
    <definedName name="_xlnm.Print_Area" localSheetId="2">#REF!</definedName>
    <definedName name="_xlnm.Print_Area" localSheetId="1">#REF!</definedName>
    <definedName name="_xlnm.Print_Area" localSheetId="0">#REF!</definedName>
    <definedName name="_xlnm.Print_Area">#REF!</definedName>
    <definedName name="afschrijving_inventaris">[1]variabelen!$C$21</definedName>
    <definedName name="afschrijvingskosten_kantoor">[1]variabelen!$C$20</definedName>
    <definedName name="AP">[2]Inputs!$E$16</definedName>
    <definedName name="AR">[2]Inputs!$E$15</definedName>
    <definedName name="BSYE1">[2]Inputs!$E$11</definedName>
    <definedName name="BSYE2">[2]Inputs!$D$11</definedName>
    <definedName name="BSYE3">[2]Inputs!$C$11</definedName>
    <definedName name="BSYE4">[2]Inputs!$B$11</definedName>
    <definedName name="COGS1">[2]Inputs!$B$16</definedName>
    <definedName name="_xlnm.Criteria" localSheetId="2">#REF!</definedName>
    <definedName name="_xlnm.Criteria" localSheetId="1">#REF!</definedName>
    <definedName name="_xlnm.Criteria" localSheetId="0">#REF!</definedName>
    <definedName name="_xlnm.Criteria">#REF!</definedName>
    <definedName name="Criteria_MI" localSheetId="2">#REF!</definedName>
    <definedName name="Criteria_MI" localSheetId="1">#REF!</definedName>
    <definedName name="Criteria_MI" localSheetId="0">#REF!</definedName>
    <definedName name="Criteria_MI">#REF!</definedName>
    <definedName name="_xlnm.Database" localSheetId="2">#REF!</definedName>
    <definedName name="_xlnm.Database" localSheetId="1">#REF!</definedName>
    <definedName name="_xlnm.Database" localSheetId="0">#REF!</definedName>
    <definedName name="_xlnm.Database">#REF!</definedName>
    <definedName name="Database_MI" localSheetId="2">#REF!</definedName>
    <definedName name="Database_MI" localSheetId="1">#REF!</definedName>
    <definedName name="Database_MI" localSheetId="0">#REF!</definedName>
    <definedName name="Database_MI">#REF!</definedName>
    <definedName name="EBITDA1">[2]Inputs!$B$30</definedName>
    <definedName name="EBITDA2">[2]Inputs!$B$31</definedName>
    <definedName name="EBITDA3">[2]Inputs!$B$32</definedName>
    <definedName name="INV">[2]Inputs!$E$17</definedName>
    <definedName name="ISYR1">[2]Inputs!$D$5</definedName>
    <definedName name="ISYR2">[2]Inputs!$C$5</definedName>
    <definedName name="ISYR3">[2]Inputs!$B$5</definedName>
    <definedName name="jaar">[1]variabelen!$M$8</definedName>
    <definedName name="jp_afschrijvingskosten_kantoor" localSheetId="2">#REF!</definedName>
    <definedName name="jp_afschrijvingskosten_kantoor" localSheetId="1">#REF!</definedName>
    <definedName name="jp_afschrijvingskosten_kantoor" localSheetId="0">#REF!</definedName>
    <definedName name="jp_afschrijvingskosten_kantoor">#REF!</definedName>
    <definedName name="netto_resultaat" localSheetId="2">#REF!</definedName>
    <definedName name="netto_resultaat" localSheetId="1">#REF!</definedName>
    <definedName name="netto_resultaat" localSheetId="0">#REF!</definedName>
    <definedName name="netto_resultaat">#REF!</definedName>
    <definedName name="NI_EBITDA" localSheetId="2">#REF!</definedName>
    <definedName name="NI_EBITDA" localSheetId="4">#REF!</definedName>
    <definedName name="NI_EBITDA" localSheetId="1">#REF!</definedName>
    <definedName name="NI_EBITDA" localSheetId="0">#REF!</definedName>
    <definedName name="NI_EBITDA">#REF!</definedName>
    <definedName name="OHW" localSheetId="2">#REF!</definedName>
    <definedName name="OHW" localSheetId="4">#REF!</definedName>
    <definedName name="OHW" localSheetId="1">#REF!</definedName>
    <definedName name="OHW" localSheetId="0">#REF!</definedName>
    <definedName name="OHW">#REF!</definedName>
    <definedName name="omzetstijging" localSheetId="2">#REF!</definedName>
    <definedName name="omzetstijging" localSheetId="1">#REF!</definedName>
    <definedName name="omzetstijging" localSheetId="0">#REF!</definedName>
    <definedName name="omzetstijging">#REF!</definedName>
    <definedName name="OPEX1">[2]Inputs!$B$19</definedName>
    <definedName name="Other1">[2]Inputs!$B$22</definedName>
    <definedName name="overhead">[1]variabelen!$C$28</definedName>
    <definedName name="per">[1]variabelen!$M$11</definedName>
    <definedName name="periode">[1]variabelen!$M$7</definedName>
    <definedName name="ProjectName">[2]Inputs!$B$4</definedName>
    <definedName name="RatioAnalysis" localSheetId="2">#REF!</definedName>
    <definedName name="RatioAnalysis" localSheetId="4">#REF!</definedName>
    <definedName name="RatioAnalysis" localSheetId="1">#REF!</definedName>
    <definedName name="RatioAnalysis" localSheetId="0">#REF!</definedName>
    <definedName name="RatioAnalysis">#REF!</definedName>
    <definedName name="RetChar" hidden="1">"
"</definedName>
    <definedName name="Sales">[2]Inputs!$B$15</definedName>
    <definedName name="start_jp" localSheetId="2">[1]Vervoermiddelen!#REF!</definedName>
    <definedName name="start_jp" localSheetId="1">[1]Vervoermiddelen!#REF!</definedName>
    <definedName name="start_jp" localSheetId="0">[1]Vervoermiddelen!#REF!</definedName>
    <definedName name="start_jp">[1]Vervoermiddelen!#REF!</definedName>
    <definedName name="verslagjaar" localSheetId="2">#REF!</definedName>
    <definedName name="verslagjaar" localSheetId="1">#REF!</definedName>
    <definedName name="verslagjaar" localSheetId="0">#REF!</definedName>
    <definedName name="verslagjaa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3" l="1"/>
  <c r="F38" i="3"/>
  <c r="F23" i="3"/>
  <c r="G13" i="9"/>
  <c r="G17" i="9" s="1"/>
  <c r="G31" i="9" s="1"/>
  <c r="G10" i="9"/>
  <c r="A6" i="11"/>
  <c r="A6" i="10"/>
  <c r="P25" i="11"/>
  <c r="O25" i="11"/>
  <c r="N25" i="11"/>
  <c r="M25" i="11"/>
  <c r="I24" i="11"/>
  <c r="N24" i="11" s="1"/>
  <c r="M22" i="11"/>
  <c r="K22" i="11"/>
  <c r="K24" i="11" s="1"/>
  <c r="P24" i="11" s="1"/>
  <c r="J22" i="11"/>
  <c r="J24" i="11" s="1"/>
  <c r="O24" i="11" s="1"/>
  <c r="I22" i="11"/>
  <c r="N22" i="11" s="1"/>
  <c r="H22" i="11"/>
  <c r="H24" i="11" s="1"/>
  <c r="M24" i="11" s="1"/>
  <c r="P21" i="11"/>
  <c r="O21" i="11"/>
  <c r="N21" i="11"/>
  <c r="M21" i="11"/>
  <c r="P20" i="11"/>
  <c r="O20" i="11"/>
  <c r="N20" i="11"/>
  <c r="M20" i="11"/>
  <c r="P19" i="11"/>
  <c r="O19" i="11"/>
  <c r="N19" i="11"/>
  <c r="M19" i="11"/>
  <c r="P18" i="11"/>
  <c r="O18" i="11"/>
  <c r="N18" i="11"/>
  <c r="M18" i="11"/>
  <c r="P17" i="11"/>
  <c r="O17" i="11"/>
  <c r="N17" i="11"/>
  <c r="M17" i="11"/>
  <c r="P16" i="11"/>
  <c r="O16" i="11"/>
  <c r="N16" i="11"/>
  <c r="M16" i="11"/>
  <c r="P15" i="11"/>
  <c r="O15" i="11"/>
  <c r="N15" i="11"/>
  <c r="M15" i="11"/>
  <c r="P14" i="11"/>
  <c r="O14" i="11"/>
  <c r="N14" i="11"/>
  <c r="M14" i="11"/>
  <c r="P13" i="11"/>
  <c r="O13" i="11"/>
  <c r="N13" i="11"/>
  <c r="M13" i="11"/>
  <c r="P12" i="11"/>
  <c r="O12" i="11"/>
  <c r="N12" i="11"/>
  <c r="M12" i="11"/>
  <c r="P11" i="11"/>
  <c r="O11" i="11"/>
  <c r="N11" i="11"/>
  <c r="M11" i="11"/>
  <c r="P10" i="11"/>
  <c r="O10" i="11"/>
  <c r="N10" i="11"/>
  <c r="M10" i="11"/>
  <c r="P9" i="11"/>
  <c r="O9" i="11"/>
  <c r="N9" i="11"/>
  <c r="M9" i="11"/>
  <c r="P8" i="11"/>
  <c r="O8" i="11"/>
  <c r="N8" i="11"/>
  <c r="M8" i="11"/>
  <c r="A7" i="11"/>
  <c r="A1" i="11"/>
  <c r="K42" i="10"/>
  <c r="P42" i="10" s="1"/>
  <c r="J42" i="10"/>
  <c r="O42" i="10" s="1"/>
  <c r="I42" i="10"/>
  <c r="N42" i="10" s="1"/>
  <c r="H42" i="10"/>
  <c r="M42" i="10" s="1"/>
  <c r="P41" i="10"/>
  <c r="O41" i="10"/>
  <c r="N41" i="10"/>
  <c r="M41" i="10"/>
  <c r="P40" i="10"/>
  <c r="O40" i="10"/>
  <c r="N40" i="10"/>
  <c r="M40" i="10"/>
  <c r="P39" i="10"/>
  <c r="O39" i="10"/>
  <c r="N39" i="10"/>
  <c r="M39" i="10"/>
  <c r="P38" i="10"/>
  <c r="O38" i="10"/>
  <c r="N38" i="10"/>
  <c r="M38" i="10"/>
  <c r="P37" i="10"/>
  <c r="O37" i="10"/>
  <c r="N37" i="10"/>
  <c r="M37" i="10"/>
  <c r="P36" i="10"/>
  <c r="O36" i="10"/>
  <c r="N36" i="10"/>
  <c r="M36" i="10"/>
  <c r="P35" i="10"/>
  <c r="O35" i="10"/>
  <c r="N35" i="10"/>
  <c r="M35" i="10"/>
  <c r="P34" i="10"/>
  <c r="O34" i="10"/>
  <c r="N34" i="10"/>
  <c r="M34" i="10"/>
  <c r="P33" i="10"/>
  <c r="O33" i="10"/>
  <c r="N33" i="10"/>
  <c r="M33" i="10"/>
  <c r="P32" i="10"/>
  <c r="O32" i="10"/>
  <c r="N32" i="10"/>
  <c r="M32" i="10"/>
  <c r="P29" i="10"/>
  <c r="O29" i="10"/>
  <c r="N29" i="10"/>
  <c r="M29" i="10"/>
  <c r="P26" i="10"/>
  <c r="O26" i="10"/>
  <c r="N26" i="10"/>
  <c r="M26" i="10"/>
  <c r="K26" i="10"/>
  <c r="K28" i="10" s="1"/>
  <c r="P28" i="10" s="1"/>
  <c r="J26" i="10"/>
  <c r="J28" i="10" s="1"/>
  <c r="O28" i="10" s="1"/>
  <c r="I26" i="10"/>
  <c r="I28" i="10" s="1"/>
  <c r="N28" i="10" s="1"/>
  <c r="H26" i="10"/>
  <c r="H28" i="10" s="1"/>
  <c r="M28" i="10" s="1"/>
  <c r="P25" i="10"/>
  <c r="O25" i="10"/>
  <c r="N25" i="10"/>
  <c r="M25" i="10"/>
  <c r="P24" i="10"/>
  <c r="O24" i="10"/>
  <c r="N24" i="10"/>
  <c r="M24" i="10"/>
  <c r="P23" i="10"/>
  <c r="O23" i="10"/>
  <c r="N23" i="10"/>
  <c r="M23" i="10"/>
  <c r="P22" i="10"/>
  <c r="O22" i="10"/>
  <c r="N22" i="10"/>
  <c r="M22" i="10"/>
  <c r="P21" i="10"/>
  <c r="O21" i="10"/>
  <c r="N21" i="10"/>
  <c r="M21" i="10"/>
  <c r="P20" i="10"/>
  <c r="O20" i="10"/>
  <c r="N20" i="10"/>
  <c r="M20" i="10"/>
  <c r="P19" i="10"/>
  <c r="O19" i="10"/>
  <c r="N19" i="10"/>
  <c r="M19" i="10"/>
  <c r="P18" i="10"/>
  <c r="O18" i="10"/>
  <c r="N18" i="10"/>
  <c r="M18" i="10"/>
  <c r="P17" i="10"/>
  <c r="O17" i="10"/>
  <c r="N17" i="10"/>
  <c r="M17" i="10"/>
  <c r="P16" i="10"/>
  <c r="O16" i="10"/>
  <c r="N16" i="10"/>
  <c r="M16" i="10"/>
  <c r="P15" i="10"/>
  <c r="O15" i="10"/>
  <c r="N15" i="10"/>
  <c r="M15" i="10"/>
  <c r="P14" i="10"/>
  <c r="O14" i="10"/>
  <c r="N14" i="10"/>
  <c r="M14" i="10"/>
  <c r="P13" i="10"/>
  <c r="O13" i="10"/>
  <c r="N13" i="10"/>
  <c r="M13" i="10"/>
  <c r="P12" i="10"/>
  <c r="O12" i="10"/>
  <c r="N12" i="10"/>
  <c r="M12" i="10"/>
  <c r="P11" i="10"/>
  <c r="O11" i="10"/>
  <c r="N11" i="10"/>
  <c r="M11" i="10"/>
  <c r="P10" i="10"/>
  <c r="O10" i="10"/>
  <c r="N10" i="10"/>
  <c r="M10" i="10"/>
  <c r="P9" i="10"/>
  <c r="O9" i="10"/>
  <c r="N9" i="10"/>
  <c r="M9" i="10"/>
  <c r="P8" i="10"/>
  <c r="O8" i="10"/>
  <c r="N8" i="10"/>
  <c r="M8" i="10"/>
  <c r="A7" i="10"/>
  <c r="A1" i="10"/>
  <c r="G35" i="9" l="1"/>
  <c r="G38" i="9" s="1"/>
  <c r="G32" i="9"/>
  <c r="G14" i="9"/>
  <c r="O22" i="11"/>
  <c r="P22" i="11"/>
  <c r="G42" i="9" l="1"/>
  <c r="G46" i="9" s="1"/>
  <c r="G50" i="9" s="1"/>
  <c r="G39" i="9"/>
  <c r="C42" i="6"/>
  <c r="D42" i="6"/>
  <c r="E42" i="6"/>
  <c r="F42" i="6"/>
  <c r="B46" i="9"/>
  <c r="F42" i="9"/>
  <c r="E42" i="9"/>
  <c r="D42" i="9"/>
  <c r="C42" i="9"/>
  <c r="B42" i="9"/>
  <c r="C38" i="3"/>
  <c r="D38" i="3"/>
  <c r="E38" i="3"/>
  <c r="B38" i="3"/>
  <c r="C23" i="3"/>
  <c r="D23" i="3"/>
  <c r="E23" i="3"/>
  <c r="B23" i="3"/>
  <c r="F13" i="9"/>
  <c r="E13" i="9"/>
  <c r="D13" i="9"/>
  <c r="C13" i="9"/>
  <c r="B13" i="9"/>
  <c r="F10" i="9"/>
  <c r="E10" i="9"/>
  <c r="D10" i="9"/>
  <c r="C10" i="9"/>
  <c r="D10" i="6"/>
  <c r="E10" i="6"/>
  <c r="F10" i="6"/>
  <c r="C10" i="6"/>
  <c r="C13" i="6"/>
  <c r="D13" i="6"/>
  <c r="E13" i="6"/>
  <c r="F13" i="6"/>
  <c r="B13" i="6"/>
  <c r="C40" i="3" l="1"/>
  <c r="D40" i="3"/>
  <c r="B40" i="3"/>
  <c r="B17" i="9"/>
  <c r="B31" i="9" s="1"/>
  <c r="B14" i="9"/>
  <c r="C17" i="9"/>
  <c r="C31" i="9" s="1"/>
  <c r="C14" i="9"/>
  <c r="D17" i="9"/>
  <c r="D31" i="9" s="1"/>
  <c r="D14" i="9"/>
  <c r="E17" i="9"/>
  <c r="E31" i="9" s="1"/>
  <c r="E14" i="9"/>
  <c r="F17" i="9"/>
  <c r="F31" i="9" s="1"/>
  <c r="F14" i="9"/>
  <c r="B14" i="6"/>
  <c r="B17" i="6"/>
  <c r="B31" i="6" s="1"/>
  <c r="F14" i="6"/>
  <c r="F17" i="6"/>
  <c r="F31" i="6" s="1"/>
  <c r="E14" i="6"/>
  <c r="E17" i="6"/>
  <c r="E31" i="6" s="1"/>
  <c r="D14" i="6"/>
  <c r="D17" i="6"/>
  <c r="D31" i="6" s="1"/>
  <c r="C14" i="6"/>
  <c r="C17" i="6"/>
  <c r="C31" i="6" s="1"/>
  <c r="F35" i="9" l="1"/>
  <c r="F38" i="9" s="1"/>
  <c r="F32" i="9"/>
  <c r="E35" i="9"/>
  <c r="E38" i="9" s="1"/>
  <c r="E32" i="9"/>
  <c r="D35" i="9"/>
  <c r="D38" i="9" s="1"/>
  <c r="D32" i="9"/>
  <c r="C35" i="9"/>
  <c r="C38" i="9" s="1"/>
  <c r="C32" i="9"/>
  <c r="B35" i="9"/>
  <c r="B38" i="9" s="1"/>
  <c r="B32" i="9"/>
  <c r="C32" i="6"/>
  <c r="C35" i="6"/>
  <c r="C38" i="6" s="1"/>
  <c r="D32" i="6"/>
  <c r="D35" i="6"/>
  <c r="D38" i="6" s="1"/>
  <c r="E32" i="6"/>
  <c r="E35" i="6"/>
  <c r="E38" i="6" s="1"/>
  <c r="F32" i="6"/>
  <c r="F35" i="6"/>
  <c r="F38" i="6" s="1"/>
  <c r="B32" i="6"/>
  <c r="B35" i="6"/>
  <c r="B38" i="6" s="1"/>
  <c r="B42" i="6" s="1"/>
  <c r="B50" i="9" l="1"/>
  <c r="B39" i="9"/>
  <c r="C46" i="9"/>
  <c r="C50" i="9" s="1"/>
  <c r="C39" i="9"/>
  <c r="D46" i="9"/>
  <c r="D50" i="9" s="1"/>
  <c r="D39" i="9"/>
  <c r="E46" i="9"/>
  <c r="E50" i="9" s="1"/>
  <c r="E39" i="9"/>
  <c r="F46" i="9"/>
  <c r="F50" i="9" s="1"/>
  <c r="F39" i="9"/>
  <c r="B39" i="6"/>
  <c r="B46" i="6"/>
  <c r="B50" i="6" s="1"/>
  <c r="F39" i="6"/>
  <c r="F46" i="6"/>
  <c r="F50" i="6" s="1"/>
  <c r="E39" i="6"/>
  <c r="E46" i="6"/>
  <c r="E50" i="6" s="1"/>
  <c r="D39" i="6"/>
  <c r="D46" i="6"/>
  <c r="D50" i="6" s="1"/>
  <c r="C39" i="6"/>
  <c r="C46" i="6"/>
  <c r="C50" i="6" s="1"/>
  <c r="E40" i="3"/>
</calcChain>
</file>

<file path=xl/sharedStrings.xml><?xml version="1.0" encoding="utf-8"?>
<sst xmlns="http://schemas.openxmlformats.org/spreadsheetml/2006/main" count="156" uniqueCount="100">
  <si>
    <t>W&amp;V-rekening (x € 1)</t>
  </si>
  <si>
    <t>[Bedrijfsnaam]</t>
  </si>
  <si>
    <t>2025</t>
  </si>
  <si>
    <t>2026</t>
  </si>
  <si>
    <t>2027</t>
  </si>
  <si>
    <t>2028</t>
  </si>
  <si>
    <t>2029</t>
  </si>
  <si>
    <t>Omzet</t>
  </si>
  <si>
    <t>groei</t>
  </si>
  <si>
    <t>Kostprijs Omzet</t>
  </si>
  <si>
    <t>Bruto Marge</t>
  </si>
  <si>
    <t>% omzet</t>
  </si>
  <si>
    <t>Overige Bedrijfsopbrengsten</t>
  </si>
  <si>
    <t>Bruto bedrijfsresultaat</t>
  </si>
  <si>
    <t>Lonen en salarissen</t>
  </si>
  <si>
    <t>Sociale lasten</t>
  </si>
  <si>
    <t>Pensioenlasten</t>
  </si>
  <si>
    <t>Management fee</t>
  </si>
  <si>
    <t>Overige personeelskosten</t>
  </si>
  <si>
    <t>Huisvestingskosten</t>
  </si>
  <si>
    <t>Kantoorkosten</t>
  </si>
  <si>
    <t>Exploitatiekosten</t>
  </si>
  <si>
    <t>Verkoopkosten</t>
  </si>
  <si>
    <t>Autokosten</t>
  </si>
  <si>
    <t>Algemene kosten</t>
  </si>
  <si>
    <t>EBITDA</t>
  </si>
  <si>
    <t>EBITDA-marge</t>
  </si>
  <si>
    <t>Afschrijving op MVA</t>
  </si>
  <si>
    <t>EBITA</t>
  </si>
  <si>
    <t>Afschrijving op IMVA</t>
  </si>
  <si>
    <t>Bedrijfsresultaat (EBIT)</t>
  </si>
  <si>
    <t>EBIT-marge</t>
  </si>
  <si>
    <t>Financiële Baten &amp; Lasten</t>
  </si>
  <si>
    <t>Resultaat voor Belasting (EBT)</t>
  </si>
  <si>
    <t>Belastingen</t>
  </si>
  <si>
    <t>Inkomen uit Minderheidsbelang na vpb</t>
  </si>
  <si>
    <t>Resultaat na Belastingen</t>
  </si>
  <si>
    <t>Resultaatposten na Belastingen</t>
  </si>
  <si>
    <t>Aandeel Derden</t>
  </si>
  <si>
    <t>Netto Resultaat</t>
  </si>
  <si>
    <t>YTD</t>
  </si>
  <si>
    <t>2020</t>
  </si>
  <si>
    <t>2021</t>
  </si>
  <si>
    <t>2022</t>
  </si>
  <si>
    <t>2023</t>
  </si>
  <si>
    <t>2024</t>
  </si>
  <si>
    <t>Balans (x € 1)</t>
  </si>
  <si>
    <t>Immateriële Vaste Activa</t>
  </si>
  <si>
    <t>Materiële Vaste Activa</t>
  </si>
  <si>
    <t>Financiële Vaste Activa</t>
  </si>
  <si>
    <t>Voorraden</t>
  </si>
  <si>
    <t>Onderhanden Projecten</t>
  </si>
  <si>
    <t>Debiteuren</t>
  </si>
  <si>
    <t>Belastingen en Premies Sociale Verzekeringen</t>
  </si>
  <si>
    <t>Lening u/g Groepsmaatschappijen</t>
  </si>
  <si>
    <t>Overige en Overlopende Vlottende Activa</t>
  </si>
  <si>
    <t>Liquide Middelen</t>
  </si>
  <si>
    <t>Totaal Activa</t>
  </si>
  <si>
    <t>Groepsvermogen</t>
  </si>
  <si>
    <t>Voorzieningen</t>
  </si>
  <si>
    <t>Achtergesteld Rentedragend Vreemd Vermogen</t>
  </si>
  <si>
    <t>Lang Rentedragend Vreemd Vermogen</t>
  </si>
  <si>
    <t>Kort Rentedragend Vreemd Vermogen</t>
  </si>
  <si>
    <t>Lening o/g Groepsmaatschappijen</t>
  </si>
  <si>
    <t>Crediteuren</t>
  </si>
  <si>
    <t>Overlopende en Overige Vlottende Passiva</t>
  </si>
  <si>
    <t>Totaal Passiva</t>
  </si>
  <si>
    <t>Check</t>
  </si>
  <si>
    <t>Omzet per klant</t>
  </si>
  <si>
    <t>Rank</t>
  </si>
  <si>
    <t>% van totale omzet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</si>
  <si>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</si>
  <si>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</si>
  <si>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</si>
  <si>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</si>
  <si>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</si>
  <si>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</si>
  <si>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</si>
  <si>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</si>
  <si>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</si>
  <si>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</si>
  <si>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</si>
  <si>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</si>
  <si>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</si>
  <si>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</si>
  <si>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</si>
  <si>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</si>
  <si>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</si>
  <si>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</si>
  <si>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Top tien klanten</t>
  </si>
  <si>
    <t>Overige klanten</t>
  </si>
  <si>
    <t>Totale omzet</t>
  </si>
  <si>
    <t>Klanten niet langer in de top 10</t>
  </si>
  <si>
    <t>Subtotaal</t>
  </si>
  <si>
    <t>Inkoop per leverancier</t>
  </si>
  <si>
    <t>Inkoop</t>
  </si>
  <si>
    <t>% van totale inkoop</t>
  </si>
  <si>
    <t>Top tien leveranciers</t>
  </si>
  <si>
    <t>Overige leveranciers</t>
  </si>
  <si>
    <t>Totale inkoop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</si>
</sst>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  <numFmt numFmtId="166" formatCode="#,##0_);\(#,##0\);\ \-_)\ "/>
    <numFmt numFmtId="167" formatCode="0.0%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i/>
      <sz val="8"/>
      <color theme="1"/>
      <name val="Arial"/>
      <family val="2"/>
    </font>
    <font>
      <sz val="8"/>
      <name val="Calibri"/>
      <family val="2"/>
      <scheme val="minor"/>
    </font>
    <font>
      <b/>
      <sz val="8"/>
      <color rgb="FFFF0000"/>
      <name val="Arial"/>
      <family val="2"/>
    </font>
    <font>
      <b/>
      <sz val="8"/>
      <name val="Arial"/>
      <family val="2"/>
    </font>
    <font>
      <u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rgb="FFFFC000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rgb="FFFDB913"/>
      </top>
      <bottom/>
      <diagonal/>
    </border>
    <border>
      <left/>
      <right/>
      <top style="medium">
        <color rgb="FFFDB913"/>
      </top>
      <bottom style="thin">
        <color theme="0" tint="-0.499984740745262"/>
      </bottom>
      <diagonal/>
    </border>
    <border>
      <left/>
      <right style="dashed">
        <color rgb="FF666666"/>
      </right>
      <top style="medium">
        <color rgb="FFFDB913"/>
      </top>
      <bottom style="thin">
        <color theme="0" tint="-0.499984740745262"/>
      </bottom>
      <diagonal/>
    </border>
    <border>
      <left style="dashed">
        <color rgb="FF666666"/>
      </left>
      <right/>
      <top style="medium">
        <color rgb="FFFDB913"/>
      </top>
      <bottom style="thin">
        <color theme="0" tint="-0.499984740745262"/>
      </bottom>
      <diagonal/>
    </border>
    <border>
      <left style="dashed">
        <color rgb="FF666666"/>
      </left>
      <right/>
      <top/>
      <bottom/>
      <diagonal/>
    </border>
    <border>
      <left/>
      <right/>
      <top/>
      <bottom style="thin">
        <color rgb="FF999999"/>
      </bottom>
      <diagonal/>
    </border>
    <border>
      <left style="dashed">
        <color rgb="FF666666"/>
      </left>
      <right/>
      <top/>
      <bottom style="thin">
        <color rgb="FF999999"/>
      </bottom>
      <diagonal/>
    </border>
    <border>
      <left/>
      <right/>
      <top style="thin">
        <color rgb="FF999999"/>
      </top>
      <bottom style="thin">
        <color rgb="FFD4D2D4"/>
      </bottom>
      <diagonal/>
    </border>
    <border>
      <left style="dashed">
        <color rgb="FF666666"/>
      </left>
      <right/>
      <top style="thin">
        <color rgb="FF999999"/>
      </top>
      <bottom style="thin">
        <color rgb="FFD4D2D4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dashed">
        <color rgb="FF666666"/>
      </left>
      <right/>
      <top style="thin">
        <color rgb="FF999999"/>
      </top>
      <bottom style="thin">
        <color rgb="FF999999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9">
    <xf numFmtId="0" fontId="0" fillId="0" borderId="0" xfId="0"/>
    <xf numFmtId="0" fontId="4" fillId="0" borderId="3" xfId="0" applyFont="1" applyBorder="1"/>
    <xf numFmtId="164" fontId="4" fillId="0" borderId="3" xfId="1" applyNumberFormat="1" applyFont="1" applyBorder="1" applyAlignment="1">
      <alignment horizontal="right"/>
    </xf>
    <xf numFmtId="0" fontId="6" fillId="2" borderId="0" xfId="3" applyFont="1" applyFill="1"/>
    <xf numFmtId="0" fontId="7" fillId="2" borderId="0" xfId="3" applyFont="1" applyFill="1" applyAlignment="1">
      <alignment horizontal="right"/>
    </xf>
    <xf numFmtId="0" fontId="7" fillId="2" borderId="0" xfId="3" applyFont="1" applyFill="1"/>
    <xf numFmtId="0" fontId="5" fillId="2" borderId="0" xfId="3" applyFont="1" applyFill="1"/>
    <xf numFmtId="0" fontId="5" fillId="0" borderId="0" xfId="3" applyFont="1"/>
    <xf numFmtId="0" fontId="8" fillId="0" borderId="0" xfId="3" applyFont="1" applyAlignment="1">
      <alignment horizontal="right"/>
    </xf>
    <xf numFmtId="0" fontId="5" fillId="0" borderId="0" xfId="3" applyFont="1" applyAlignment="1">
      <alignment horizontal="right"/>
    </xf>
    <xf numFmtId="0" fontId="4" fillId="0" borderId="1" xfId="3" applyFont="1" applyBorder="1"/>
    <xf numFmtId="0" fontId="5" fillId="0" borderId="1" xfId="3" applyFont="1" applyBorder="1" applyAlignment="1">
      <alignment horizontal="right"/>
    </xf>
    <xf numFmtId="0" fontId="4" fillId="0" borderId="1" xfId="3" applyFont="1" applyBorder="1" applyAlignment="1">
      <alignment horizontal="right"/>
    </xf>
    <xf numFmtId="0" fontId="4" fillId="0" borderId="2" xfId="3" applyFont="1" applyBorder="1"/>
    <xf numFmtId="14" fontId="4" fillId="0" borderId="2" xfId="3" applyNumberFormat="1" applyFont="1" applyBorder="1" applyAlignment="1">
      <alignment horizontal="right"/>
    </xf>
    <xf numFmtId="164" fontId="5" fillId="0" borderId="0" xfId="4" applyNumberFormat="1" applyFont="1" applyAlignment="1">
      <alignment horizontal="right"/>
    </xf>
    <xf numFmtId="164" fontId="5" fillId="0" borderId="0" xfId="4" applyNumberFormat="1" applyFont="1" applyBorder="1" applyAlignment="1">
      <alignment horizontal="right"/>
    </xf>
    <xf numFmtId="164" fontId="4" fillId="0" borderId="0" xfId="4" applyNumberFormat="1" applyFont="1" applyBorder="1" applyAlignment="1">
      <alignment horizontal="right"/>
    </xf>
    <xf numFmtId="0" fontId="4" fillId="0" borderId="0" xfId="3" applyFont="1"/>
    <xf numFmtId="0" fontId="4" fillId="0" borderId="0" xfId="3" applyFont="1" applyAlignment="1">
      <alignment horizontal="right"/>
    </xf>
    <xf numFmtId="14" fontId="4" fillId="0" borderId="0" xfId="3" applyNumberFormat="1" applyFont="1" applyAlignment="1">
      <alignment horizontal="right"/>
    </xf>
    <xf numFmtId="164" fontId="5" fillId="0" borderId="0" xfId="1" applyNumberFormat="1" applyFont="1" applyBorder="1"/>
    <xf numFmtId="164" fontId="5" fillId="0" borderId="0" xfId="1" applyNumberFormat="1" applyFont="1" applyBorder="1" applyAlignment="1">
      <alignment horizontal="right"/>
    </xf>
    <xf numFmtId="164" fontId="4" fillId="0" borderId="0" xfId="1" applyNumberFormat="1" applyFont="1" applyBorder="1" applyAlignment="1">
      <alignment horizontal="right"/>
    </xf>
    <xf numFmtId="0" fontId="4" fillId="0" borderId="4" xfId="3" applyFont="1" applyBorder="1"/>
    <xf numFmtId="164" fontId="4" fillId="0" borderId="4" xfId="1" applyNumberFormat="1" applyFont="1" applyBorder="1" applyAlignment="1">
      <alignment horizontal="right"/>
    </xf>
    <xf numFmtId="0" fontId="9" fillId="0" borderId="0" xfId="3" applyFont="1"/>
    <xf numFmtId="164" fontId="9" fillId="0" borderId="0" xfId="1" applyNumberFormat="1" applyFont="1" applyBorder="1" applyAlignment="1">
      <alignment horizontal="right"/>
    </xf>
    <xf numFmtId="0" fontId="5" fillId="0" borderId="0" xfId="0" applyFont="1"/>
    <xf numFmtId="0" fontId="8" fillId="0" borderId="0" xfId="3" applyFont="1"/>
    <xf numFmtId="164" fontId="8" fillId="0" borderId="0" xfId="4" applyNumberFormat="1" applyFont="1" applyAlignment="1">
      <alignment horizontal="right"/>
    </xf>
    <xf numFmtId="9" fontId="9" fillId="0" borderId="0" xfId="5" applyFont="1" applyBorder="1" applyAlignment="1">
      <alignment horizontal="right"/>
    </xf>
    <xf numFmtId="49" fontId="4" fillId="0" borderId="2" xfId="3" applyNumberFormat="1" applyFont="1" applyBorder="1" applyAlignment="1">
      <alignment horizontal="right"/>
    </xf>
    <xf numFmtId="0" fontId="11" fillId="0" borderId="2" xfId="3" applyFont="1" applyBorder="1"/>
    <xf numFmtId="0" fontId="4" fillId="0" borderId="5" xfId="3" applyFont="1" applyBorder="1" applyAlignment="1">
      <alignment horizontal="left"/>
    </xf>
    <xf numFmtId="0" fontId="4" fillId="0" borderId="7" xfId="3" applyFont="1" applyBorder="1" applyAlignment="1">
      <alignment horizontal="centerContinuous"/>
    </xf>
    <xf numFmtId="0" fontId="4" fillId="0" borderId="6" xfId="3" applyFont="1" applyBorder="1"/>
    <xf numFmtId="0" fontId="4" fillId="0" borderId="0" xfId="3" applyFont="1" applyAlignment="1">
      <alignment horizontal="left"/>
    </xf>
    <xf numFmtId="0" fontId="4" fillId="0" borderId="9" xfId="3" applyFont="1" applyBorder="1" applyAlignment="1">
      <alignment horizontal="right"/>
    </xf>
    <xf numFmtId="0" fontId="4" fillId="0" borderId="10" xfId="3" applyFont="1" applyBorder="1" applyAlignment="1">
      <alignment horizontal="left"/>
    </xf>
    <xf numFmtId="0" fontId="4" fillId="0" borderId="10" xfId="3" applyFont="1" applyBorder="1" applyAlignment="1">
      <alignment horizontal="right" wrapText="1"/>
    </xf>
    <xf numFmtId="0" fontId="4" fillId="0" borderId="11" xfId="3" applyFont="1" applyBorder="1" applyAlignment="1">
      <alignment horizontal="right" wrapText="1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 wrapText="1"/>
    </xf>
    <xf numFmtId="165" fontId="5" fillId="0" borderId="0" xfId="4" applyNumberFormat="1" applyFont="1" applyFill="1" applyAlignment="1">
      <alignment horizontal="right" vertical="center"/>
    </xf>
    <xf numFmtId="166" fontId="5" fillId="0" borderId="9" xfId="4" applyNumberFormat="1" applyFont="1" applyFill="1" applyBorder="1" applyAlignment="1">
      <alignment horizontal="right" vertical="center"/>
    </xf>
    <xf numFmtId="165" fontId="5" fillId="0" borderId="0" xfId="4" applyNumberFormat="1" applyFont="1" applyFill="1" applyBorder="1" applyAlignment="1">
      <alignment horizontal="right" vertical="center"/>
    </xf>
    <xf numFmtId="167" fontId="5" fillId="0" borderId="9" xfId="4" applyNumberFormat="1" applyFont="1" applyFill="1" applyBorder="1" applyAlignment="1">
      <alignment horizontal="right" vertical="center"/>
    </xf>
    <xf numFmtId="167" fontId="5" fillId="0" borderId="0" xfId="4" applyNumberFormat="1" applyFont="1" applyFill="1" applyAlignment="1">
      <alignment horizontal="right" vertical="center"/>
    </xf>
    <xf numFmtId="0" fontId="4" fillId="0" borderId="12" xfId="3" applyFont="1" applyBorder="1" applyAlignment="1">
      <alignment horizontal="left" vertical="center"/>
    </xf>
    <xf numFmtId="0" fontId="4" fillId="0" borderId="12" xfId="3" applyFont="1" applyBorder="1" applyAlignment="1">
      <alignment horizontal="left" vertical="center" wrapText="1"/>
    </xf>
    <xf numFmtId="165" fontId="4" fillId="0" borderId="12" xfId="4" applyNumberFormat="1" applyFont="1" applyFill="1" applyBorder="1" applyAlignment="1">
      <alignment horizontal="right" vertical="center"/>
    </xf>
    <xf numFmtId="166" fontId="4" fillId="0" borderId="13" xfId="4" applyNumberFormat="1" applyFont="1" applyFill="1" applyBorder="1" applyAlignment="1">
      <alignment horizontal="right" vertical="center"/>
    </xf>
    <xf numFmtId="167" fontId="4" fillId="0" borderId="13" xfId="4" applyNumberFormat="1" applyFont="1" applyFill="1" applyBorder="1" applyAlignment="1">
      <alignment horizontal="right" vertical="center"/>
    </xf>
    <xf numFmtId="167" fontId="4" fillId="0" borderId="12" xfId="4" applyNumberFormat="1" applyFont="1" applyFill="1" applyBorder="1" applyAlignment="1">
      <alignment horizontal="right" vertical="center"/>
    </xf>
    <xf numFmtId="0" fontId="4" fillId="0" borderId="0" xfId="3" applyFont="1" applyAlignment="1">
      <alignment horizontal="left" vertical="center"/>
    </xf>
    <xf numFmtId="0" fontId="4" fillId="0" borderId="0" xfId="3" applyFont="1" applyAlignment="1">
      <alignment horizontal="left" vertical="center" wrapText="1"/>
    </xf>
    <xf numFmtId="165" fontId="4" fillId="0" borderId="0" xfId="4" applyNumberFormat="1" applyFont="1" applyFill="1" applyBorder="1" applyAlignment="1">
      <alignment horizontal="right" vertical="center"/>
    </xf>
    <xf numFmtId="166" fontId="4" fillId="0" borderId="9" xfId="4" applyNumberFormat="1" applyFont="1" applyFill="1" applyBorder="1" applyAlignment="1">
      <alignment horizontal="right" vertical="center"/>
    </xf>
    <xf numFmtId="167" fontId="4" fillId="0" borderId="9" xfId="4" applyNumberFormat="1" applyFont="1" applyFill="1" applyBorder="1" applyAlignment="1">
      <alignment horizontal="right" vertical="center"/>
    </xf>
    <xf numFmtId="167" fontId="4" fillId="0" borderId="0" xfId="4" applyNumberFormat="1" applyFont="1" applyFill="1" applyBorder="1" applyAlignment="1">
      <alignment horizontal="right" vertical="center"/>
    </xf>
    <xf numFmtId="0" fontId="4" fillId="0" borderId="14" xfId="3" applyFont="1" applyBorder="1" applyAlignment="1">
      <alignment horizontal="left" vertical="center"/>
    </xf>
    <xf numFmtId="0" fontId="4" fillId="0" borderId="14" xfId="3" applyFont="1" applyBorder="1" applyAlignment="1">
      <alignment horizontal="left" vertical="center" wrapText="1"/>
    </xf>
    <xf numFmtId="166" fontId="12" fillId="0" borderId="15" xfId="4" applyNumberFormat="1" applyFont="1" applyFill="1" applyBorder="1" applyAlignment="1">
      <alignment horizontal="right" vertical="center"/>
    </xf>
    <xf numFmtId="166" fontId="12" fillId="0" borderId="14" xfId="4" applyNumberFormat="1" applyFont="1" applyFill="1" applyBorder="1" applyAlignment="1">
      <alignment horizontal="right" vertical="center"/>
    </xf>
    <xf numFmtId="166" fontId="11" fillId="0" borderId="14" xfId="4" applyNumberFormat="1" applyFont="1" applyFill="1" applyBorder="1" applyAlignment="1">
      <alignment horizontal="right" vertical="center"/>
    </xf>
    <xf numFmtId="167" fontId="4" fillId="0" borderId="15" xfId="4" applyNumberFormat="1" applyFont="1" applyFill="1" applyBorder="1" applyAlignment="1">
      <alignment horizontal="right" vertical="center"/>
    </xf>
    <xf numFmtId="167" fontId="4" fillId="0" borderId="14" xfId="4" applyNumberFormat="1" applyFont="1" applyFill="1" applyBorder="1" applyAlignment="1">
      <alignment horizontal="right" vertical="center"/>
    </xf>
    <xf numFmtId="165" fontId="4" fillId="0" borderId="0" xfId="3" applyNumberFormat="1" applyFont="1" applyAlignment="1">
      <alignment horizontal="right" vertical="center"/>
    </xf>
    <xf numFmtId="0" fontId="13" fillId="0" borderId="0" xfId="3" applyFont="1" applyAlignment="1">
      <alignment horizontal="left" vertical="center"/>
    </xf>
    <xf numFmtId="0" fontId="13" fillId="0" borderId="0" xfId="3" applyFont="1" applyAlignment="1">
      <alignment horizontal="left" vertical="center" wrapText="1"/>
    </xf>
    <xf numFmtId="166" fontId="4" fillId="0" borderId="15" xfId="4" applyNumberFormat="1" applyFont="1" applyFill="1" applyBorder="1" applyAlignment="1">
      <alignment horizontal="right" vertical="center"/>
    </xf>
    <xf numFmtId="165" fontId="4" fillId="0" borderId="14" xfId="3" applyNumberFormat="1" applyFont="1" applyBorder="1" applyAlignment="1">
      <alignment horizontal="right" vertical="center"/>
    </xf>
    <xf numFmtId="166" fontId="5" fillId="0" borderId="0" xfId="4" applyNumberFormat="1" applyFont="1" applyFill="1" applyBorder="1" applyAlignment="1">
      <alignment horizontal="right" vertical="center"/>
    </xf>
    <xf numFmtId="166" fontId="5" fillId="0" borderId="0" xfId="3" applyNumberFormat="1" applyFont="1"/>
    <xf numFmtId="4" fontId="5" fillId="0" borderId="0" xfId="3" applyNumberFormat="1" applyFont="1"/>
    <xf numFmtId="165" fontId="5" fillId="0" borderId="0" xfId="3" applyNumberFormat="1" applyFont="1"/>
    <xf numFmtId="0" fontId="4" fillId="0" borderId="6" xfId="3" applyFont="1" applyBorder="1" applyAlignment="1">
      <alignment horizontal="center"/>
    </xf>
    <xf numFmtId="0" fontId="4" fillId="0" borderId="8" xfId="3" applyFont="1" applyBorder="1" applyAlignment="1">
      <alignment horizontal="center"/>
    </xf>
  </cellXfs>
  <cellStyles count="6">
    <cellStyle name="Komma" xfId="1" builtinId="3"/>
    <cellStyle name="Komma 2" xfId="4" xr:uid="{2CDF3199-DC8B-492F-8096-2CE7A7704772}"/>
    <cellStyle name="Procent" xfId="5" builtinId="5"/>
    <cellStyle name="Standaard" xfId="0" builtinId="0"/>
    <cellStyle name="Standaard 2" xfId="2" xr:uid="{A133DE45-6207-434A-8AFB-960F998A28D7}"/>
    <cellStyle name="Standaard 3" xfId="3" xr:uid="{456E5000-31C0-43AF-A3EB-EDD8FFC41A9F}"/>
  </cellStyles>
  <dxfs count="0"/>
  <tableStyles count="1" defaultTableStyle="TableStyleMedium2" defaultPivotStyle="PivotStyleLight16">
    <tableStyle name="Invisible" pivot="0" table="0" count="0" xr9:uid="{AC3E17E4-7A9E-432F-BABB-8309DBB5091A}"/>
  </tableStyles>
  <colors>
    <mruColors>
      <color rgb="FFFDB9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jaarrekeningen\Sieswerda%20Taxi's%20bv\afschrijvingsstaat%20sies%202002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Foederer/Corporate%20Finance/1.%20Templates/D.%20Due%20Diligence/D8%20Crowe%20Horwath%20Training/1.%20Templates/Create%20Databook%20Template%207-24-17.xlsb" TargetMode="External"/><Relationship Id="rId1" Type="http://schemas.openxmlformats.org/officeDocument/2006/relationships/externalLinkPath" Target="/Foederer/Corporate%20Finance/1.%20Templates/D.%20Due%20Diligence/D8%20Crowe%20Horwath%20Training/1.%20Templates/Create%20Databook%20Template%207-24-17.xlsb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.steijvers\Desktop\DD%20Analyse%20Template%20(4%20jaar).xlsx" TargetMode="External"/><Relationship Id="rId1" Type="http://schemas.openxmlformats.org/officeDocument/2006/relationships/externalLinkPath" Target="file:///C:\Users\m.steijvers\Desktop\DD%20Analyse%20Template%20(4%20jaar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elen"/>
      <sheetName val="boekwaarde"/>
      <sheetName val="Werkplaats"/>
      <sheetName val="Kantoor"/>
      <sheetName val="Voertuigen"/>
      <sheetName val="Vervoermiddelen"/>
      <sheetName val="Assurantien"/>
      <sheetName val="Overig"/>
      <sheetName val="Aannemingsm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ference"/>
      <sheetName val="IS TB Data"/>
      <sheetName val="BS TB Data"/>
      <sheetName val="Check Figures"/>
      <sheetName val="Inputs"/>
      <sheetName val="Financial Highlights"/>
      <sheetName val="NWC Summary"/>
      <sheetName val="QofE"/>
      <sheetName val="Adj EBITDA Bridge"/>
      <sheetName val="NWC Analysis"/>
      <sheetName val="Monthly EBITDA"/>
      <sheetName val="Summary IS"/>
      <sheetName val="Recast IS"/>
      <sheetName val="Level 1+2"/>
      <sheetName val="Level 2+3"/>
      <sheetName val="Consolidating IS - Reported"/>
      <sheetName val="Consolidating IS - Recast"/>
      <sheetName val="Sales Lead"/>
      <sheetName val="Sales Graphs"/>
      <sheetName val="Sales Bridge"/>
      <sheetName val="Sales by Cust."/>
      <sheetName val="Sales Level 3 Detail"/>
      <sheetName val="COGS Lead"/>
      <sheetName val="OPEX Lead"/>
      <sheetName val="OIE Lead"/>
      <sheetName val="Utility Level 3 IS Detail"/>
      <sheetName val="Utility Level 4 IS Detail"/>
      <sheetName val="BS Summary"/>
      <sheetName val="Balance Sheet Walk"/>
      <sheetName val="Consolidating BS"/>
      <sheetName val="NWC Chart"/>
      <sheetName val="Cash Lead"/>
      <sheetName val="AR Lead"/>
      <sheetName val="Inventory Lead"/>
      <sheetName val="OCA Lead"/>
      <sheetName val="PPE Lead"/>
      <sheetName val="Other Assets"/>
      <sheetName val="Accounts Payable"/>
      <sheetName val="Other Current Liabilities"/>
      <sheetName val="Notes Payable"/>
      <sheetName val="Sales and Margin by Cust."/>
      <sheetName val="Sales and Margin by Prod."/>
      <sheetName val="AR Aging"/>
      <sheetName val="AP Aging"/>
      <sheetName val="HC"/>
      <sheetName val="Cover Page"/>
      <sheetName val="Section Break"/>
      <sheetName val="Closing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KB"/>
      <sheetName val="Crowe trail"/>
      <sheetName val="QofE"/>
      <sheetName val="W&amp;V"/>
      <sheetName val="Balans"/>
      <sheetName val="IVA"/>
      <sheetName val="MVA"/>
      <sheetName val="VRD"/>
      <sheetName val="DEB"/>
      <sheetName val="GRP"/>
      <sheetName val="OVV"/>
      <sheetName val="LQM"/>
      <sheetName val="EVM"/>
      <sheetName val="CRE"/>
      <sheetName val="LLS"/>
      <sheetName val="BEL"/>
      <sheetName val="OVS"/>
      <sheetName val="OMZ"/>
      <sheetName val="Klanten"/>
      <sheetName val="KPR"/>
      <sheetName val="Leveranciers"/>
      <sheetName val="PER"/>
      <sheetName val="OVB"/>
      <sheetName val="FIN"/>
      <sheetName val="NWK Analyse"/>
      <sheetName val="NWK Grafiek"/>
    </sheetNames>
    <sheetDataSet>
      <sheetData sheetId="0">
        <row r="3">
          <cell r="C3" t="str">
            <v>BEDRIJF</v>
          </cell>
        </row>
        <row r="15">
          <cell r="C15" t="str">
            <v>(x € 1)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98E2E-BE3B-4892-B746-A615F9F2E38B}">
  <dimension ref="A1:K59"/>
  <sheetViews>
    <sheetView showGridLines="0" tabSelected="1" zoomScale="115" zoomScaleNormal="115" workbookViewId="0">
      <selection activeCell="G25" sqref="G25"/>
    </sheetView>
  </sheetViews>
  <sheetFormatPr defaultColWidth="9.140625" defaultRowHeight="11.25" x14ac:dyDescent="0.2"/>
  <cols>
    <col min="1" max="1" width="38.5703125" style="7" customWidth="1"/>
    <col min="2" max="2" width="4.42578125" style="9" bestFit="1" customWidth="1"/>
    <col min="3" max="6" width="10.7109375" style="9" customWidth="1"/>
    <col min="7" max="7" width="32.7109375" style="7" customWidth="1"/>
    <col min="8" max="11" width="10.7109375" style="9" customWidth="1"/>
    <col min="12" max="16384" width="9.140625" style="7"/>
  </cols>
  <sheetData>
    <row r="1" spans="1:11" s="6" customFormat="1" ht="12.75" x14ac:dyDescent="0.2">
      <c r="A1" s="3"/>
      <c r="B1" s="4"/>
      <c r="C1" s="4"/>
      <c r="D1" s="4"/>
      <c r="E1" s="4"/>
      <c r="F1" s="4"/>
      <c r="G1" s="3"/>
      <c r="H1" s="4"/>
      <c r="I1" s="4"/>
      <c r="J1" s="4"/>
      <c r="K1" s="4"/>
    </row>
    <row r="2" spans="1:11" s="6" customFormat="1" ht="12.75" x14ac:dyDescent="0.2">
      <c r="A2" s="3"/>
      <c r="B2" s="4"/>
      <c r="C2" s="4"/>
      <c r="D2" s="4"/>
      <c r="E2" s="4"/>
      <c r="F2" s="4"/>
      <c r="G2" s="3"/>
      <c r="H2" s="4"/>
      <c r="I2" s="4"/>
      <c r="J2" s="4"/>
      <c r="K2" s="4"/>
    </row>
    <row r="3" spans="1:11" x14ac:dyDescent="0.2">
      <c r="B3" s="8"/>
      <c r="C3" s="8"/>
      <c r="D3" s="8"/>
      <c r="E3" s="8"/>
      <c r="F3" s="8"/>
      <c r="H3" s="8"/>
      <c r="I3" s="8"/>
      <c r="J3" s="8"/>
      <c r="K3" s="8"/>
    </row>
    <row r="4" spans="1:11" ht="12" thickBot="1" x14ac:dyDescent="0.25"/>
    <row r="5" spans="1:11" x14ac:dyDescent="0.2">
      <c r="A5" s="10" t="s">
        <v>0</v>
      </c>
      <c r="B5" s="11"/>
      <c r="C5" s="11"/>
      <c r="D5" s="11"/>
      <c r="E5" s="12"/>
      <c r="F5" s="12"/>
      <c r="G5" s="18"/>
      <c r="K5" s="19"/>
    </row>
    <row r="6" spans="1:11" x14ac:dyDescent="0.2">
      <c r="A6" s="18"/>
      <c r="E6" s="19"/>
      <c r="F6" s="19"/>
      <c r="G6" s="18"/>
      <c r="K6" s="19"/>
    </row>
    <row r="7" spans="1:11" x14ac:dyDescent="0.2">
      <c r="A7" s="33" t="s">
        <v>1</v>
      </c>
      <c r="B7" s="32" t="s">
        <v>2</v>
      </c>
      <c r="C7" s="32" t="s">
        <v>3</v>
      </c>
      <c r="D7" s="32" t="s">
        <v>4</v>
      </c>
      <c r="E7" s="32" t="s">
        <v>5</v>
      </c>
      <c r="F7" s="32" t="s">
        <v>6</v>
      </c>
      <c r="G7" s="18"/>
      <c r="K7" s="19"/>
    </row>
    <row r="8" spans="1:11" x14ac:dyDescent="0.2">
      <c r="A8" s="18"/>
      <c r="B8" s="20"/>
      <c r="C8" s="20"/>
      <c r="D8" s="20"/>
      <c r="E8" s="19"/>
      <c r="F8" s="19"/>
      <c r="G8" s="18"/>
      <c r="K8" s="19"/>
    </row>
    <row r="9" spans="1:11" x14ac:dyDescent="0.2">
      <c r="A9" s="7" t="s">
        <v>7</v>
      </c>
      <c r="B9" s="21"/>
      <c r="C9" s="21"/>
      <c r="D9" s="21"/>
      <c r="E9" s="7"/>
      <c r="F9" s="7"/>
      <c r="G9" s="18"/>
      <c r="H9" s="20"/>
      <c r="I9" s="20"/>
      <c r="J9" s="20"/>
      <c r="K9" s="19"/>
    </row>
    <row r="10" spans="1:11" x14ac:dyDescent="0.2">
      <c r="A10" s="26" t="s">
        <v>8</v>
      </c>
      <c r="B10" s="27"/>
      <c r="C10" s="31">
        <f>IFERROR(((C9-B9)/B9),0)</f>
        <v>0</v>
      </c>
      <c r="D10" s="31">
        <f t="shared" ref="D10:F10" si="0">IFERROR(((D9-C9)/C9),0)</f>
        <v>0</v>
      </c>
      <c r="E10" s="31">
        <f t="shared" si="0"/>
        <v>0</v>
      </c>
      <c r="F10" s="31">
        <f t="shared" si="0"/>
        <v>0</v>
      </c>
    </row>
    <row r="11" spans="1:11" x14ac:dyDescent="0.2">
      <c r="B11" s="22"/>
      <c r="C11" s="22"/>
      <c r="D11" s="22"/>
      <c r="E11" s="16"/>
      <c r="F11" s="16"/>
      <c r="H11" s="16"/>
      <c r="I11" s="16"/>
      <c r="J11" s="16"/>
      <c r="K11" s="16"/>
    </row>
    <row r="12" spans="1:11" x14ac:dyDescent="0.2">
      <c r="A12" s="7" t="s">
        <v>9</v>
      </c>
      <c r="B12" s="22"/>
      <c r="C12" s="22"/>
      <c r="D12" s="22"/>
      <c r="E12" s="16"/>
      <c r="F12" s="16"/>
      <c r="H12" s="16"/>
      <c r="I12" s="16"/>
      <c r="J12" s="16"/>
      <c r="K12" s="16"/>
    </row>
    <row r="13" spans="1:11" x14ac:dyDescent="0.2">
      <c r="A13" s="24" t="s">
        <v>10</v>
      </c>
      <c r="B13" s="25">
        <f>B9-B12</f>
        <v>0</v>
      </c>
      <c r="C13" s="25">
        <f t="shared" ref="C13:F13" si="1">C9-C12</f>
        <v>0</v>
      </c>
      <c r="D13" s="25">
        <f t="shared" si="1"/>
        <v>0</v>
      </c>
      <c r="E13" s="25">
        <f t="shared" si="1"/>
        <v>0</v>
      </c>
      <c r="F13" s="25">
        <f t="shared" si="1"/>
        <v>0</v>
      </c>
      <c r="G13" s="18"/>
      <c r="H13" s="17"/>
      <c r="I13" s="17"/>
      <c r="J13" s="17"/>
      <c r="K13" s="17"/>
    </row>
    <row r="14" spans="1:11" x14ac:dyDescent="0.2">
      <c r="A14" s="26" t="s">
        <v>11</v>
      </c>
      <c r="B14" s="31">
        <f>IFERROR(B13/B9,0)</f>
        <v>0</v>
      </c>
      <c r="C14" s="31">
        <f t="shared" ref="C14:F14" si="2">IFERROR(C13/C9,0)</f>
        <v>0</v>
      </c>
      <c r="D14" s="31">
        <f t="shared" si="2"/>
        <v>0</v>
      </c>
      <c r="E14" s="31">
        <f t="shared" si="2"/>
        <v>0</v>
      </c>
      <c r="F14" s="31">
        <f t="shared" si="2"/>
        <v>0</v>
      </c>
      <c r="H14" s="16"/>
      <c r="I14" s="16"/>
      <c r="J14" s="16"/>
      <c r="K14" s="16"/>
    </row>
    <row r="15" spans="1:11" x14ac:dyDescent="0.2">
      <c r="B15" s="22"/>
      <c r="C15" s="22"/>
      <c r="D15" s="22"/>
      <c r="E15" s="16"/>
      <c r="F15" s="16"/>
      <c r="H15" s="16"/>
      <c r="I15" s="16"/>
      <c r="J15" s="16"/>
      <c r="K15" s="16"/>
    </row>
    <row r="16" spans="1:11" x14ac:dyDescent="0.2">
      <c r="A16" s="7" t="s">
        <v>12</v>
      </c>
      <c r="B16" s="22"/>
      <c r="C16" s="22"/>
      <c r="D16" s="22"/>
      <c r="E16" s="16"/>
      <c r="F16" s="16"/>
      <c r="G16" s="18"/>
      <c r="H16" s="17"/>
      <c r="I16" s="17"/>
      <c r="J16" s="17"/>
      <c r="K16" s="17"/>
    </row>
    <row r="17" spans="1:11" x14ac:dyDescent="0.2">
      <c r="A17" s="24" t="s">
        <v>13</v>
      </c>
      <c r="B17" s="25">
        <f>B13+B16</f>
        <v>0</v>
      </c>
      <c r="C17" s="25">
        <f t="shared" ref="C17:F17" si="3">C13+C16</f>
        <v>0</v>
      </c>
      <c r="D17" s="25">
        <f t="shared" si="3"/>
        <v>0</v>
      </c>
      <c r="E17" s="25">
        <f t="shared" si="3"/>
        <v>0</v>
      </c>
      <c r="F17" s="25">
        <f t="shared" si="3"/>
        <v>0</v>
      </c>
      <c r="H17" s="16"/>
      <c r="I17" s="16"/>
      <c r="J17" s="16"/>
      <c r="K17" s="16"/>
    </row>
    <row r="18" spans="1:11" x14ac:dyDescent="0.2">
      <c r="B18" s="22"/>
      <c r="C18" s="22"/>
      <c r="D18" s="22"/>
      <c r="E18" s="16"/>
      <c r="F18" s="16"/>
      <c r="H18" s="16"/>
      <c r="I18" s="16"/>
      <c r="J18" s="16"/>
      <c r="K18" s="16"/>
    </row>
    <row r="19" spans="1:11" x14ac:dyDescent="0.2">
      <c r="A19" s="7" t="s">
        <v>14</v>
      </c>
      <c r="B19" s="22"/>
      <c r="C19" s="22"/>
      <c r="D19" s="22"/>
      <c r="E19" s="17"/>
      <c r="F19" s="17"/>
      <c r="H19" s="16"/>
      <c r="I19" s="16"/>
      <c r="J19" s="16"/>
      <c r="K19" s="16"/>
    </row>
    <row r="20" spans="1:11" x14ac:dyDescent="0.2">
      <c r="A20" s="7" t="s">
        <v>15</v>
      </c>
      <c r="B20" s="22"/>
      <c r="C20" s="22"/>
      <c r="D20" s="22"/>
      <c r="E20" s="17"/>
      <c r="F20" s="17"/>
      <c r="H20" s="16"/>
      <c r="I20" s="16"/>
      <c r="J20" s="16"/>
      <c r="K20" s="16"/>
    </row>
    <row r="21" spans="1:11" x14ac:dyDescent="0.2">
      <c r="A21" s="7" t="s">
        <v>16</v>
      </c>
      <c r="B21" s="22"/>
      <c r="C21" s="22"/>
      <c r="D21" s="22"/>
      <c r="E21" s="17"/>
      <c r="F21" s="17"/>
      <c r="H21" s="16"/>
      <c r="I21" s="16"/>
      <c r="J21" s="16"/>
      <c r="K21" s="16"/>
    </row>
    <row r="22" spans="1:11" x14ac:dyDescent="0.2">
      <c r="A22" s="7" t="s">
        <v>17</v>
      </c>
      <c r="B22" s="22"/>
      <c r="C22" s="22"/>
      <c r="D22" s="22"/>
      <c r="E22" s="16"/>
      <c r="F22" s="16"/>
      <c r="H22" s="16"/>
      <c r="I22" s="16"/>
      <c r="J22" s="16"/>
      <c r="K22" s="16"/>
    </row>
    <row r="23" spans="1:11" x14ac:dyDescent="0.2">
      <c r="A23" s="7" t="s">
        <v>18</v>
      </c>
      <c r="B23" s="22"/>
      <c r="C23" s="22"/>
      <c r="D23" s="22"/>
      <c r="E23" s="16"/>
      <c r="F23" s="16"/>
      <c r="H23" s="16"/>
      <c r="I23" s="16"/>
      <c r="J23" s="16"/>
      <c r="K23" s="16"/>
    </row>
    <row r="24" spans="1:11" x14ac:dyDescent="0.2">
      <c r="B24" s="22"/>
      <c r="C24" s="22"/>
      <c r="D24" s="22"/>
      <c r="E24" s="16"/>
      <c r="F24" s="16"/>
      <c r="H24" s="16"/>
      <c r="I24" s="16"/>
      <c r="J24" s="16"/>
      <c r="K24" s="16"/>
    </row>
    <row r="25" spans="1:11" x14ac:dyDescent="0.2">
      <c r="A25" s="7" t="s">
        <v>19</v>
      </c>
      <c r="B25" s="22"/>
      <c r="C25" s="22"/>
      <c r="D25" s="22"/>
      <c r="E25" s="16"/>
      <c r="F25" s="16"/>
      <c r="H25" s="16"/>
      <c r="I25" s="16"/>
      <c r="J25" s="16"/>
      <c r="K25" s="16"/>
    </row>
    <row r="26" spans="1:11" x14ac:dyDescent="0.2">
      <c r="A26" s="7" t="s">
        <v>20</v>
      </c>
      <c r="B26" s="22"/>
      <c r="C26" s="22"/>
      <c r="D26" s="22"/>
      <c r="E26" s="16"/>
      <c r="F26" s="16"/>
      <c r="H26" s="16"/>
      <c r="I26" s="16"/>
      <c r="J26" s="16"/>
      <c r="K26" s="16"/>
    </row>
    <row r="27" spans="1:11" x14ac:dyDescent="0.2">
      <c r="A27" s="7" t="s">
        <v>21</v>
      </c>
      <c r="B27" s="22"/>
      <c r="C27" s="22"/>
      <c r="D27" s="22"/>
      <c r="E27" s="16"/>
      <c r="F27" s="16"/>
      <c r="H27" s="16"/>
      <c r="I27" s="16"/>
      <c r="J27" s="16"/>
      <c r="K27" s="16"/>
    </row>
    <row r="28" spans="1:11" x14ac:dyDescent="0.2">
      <c r="A28" s="7" t="s">
        <v>22</v>
      </c>
      <c r="B28" s="22"/>
      <c r="C28" s="22"/>
      <c r="D28" s="22"/>
      <c r="E28" s="16"/>
      <c r="F28" s="16"/>
      <c r="H28" s="16"/>
      <c r="I28" s="16"/>
      <c r="J28" s="16"/>
      <c r="K28" s="16"/>
    </row>
    <row r="29" spans="1:11" x14ac:dyDescent="0.2">
      <c r="A29" s="7" t="s">
        <v>23</v>
      </c>
      <c r="B29" s="22"/>
      <c r="C29" s="22"/>
      <c r="D29" s="22"/>
      <c r="E29" s="16"/>
      <c r="F29" s="16"/>
      <c r="H29" s="16"/>
      <c r="I29" s="16"/>
      <c r="J29" s="16"/>
      <c r="K29" s="16"/>
    </row>
    <row r="30" spans="1:11" x14ac:dyDescent="0.2">
      <c r="A30" s="7" t="s">
        <v>24</v>
      </c>
      <c r="B30" s="22"/>
      <c r="C30" s="22"/>
      <c r="D30" s="22"/>
      <c r="E30" s="16"/>
      <c r="F30" s="16"/>
      <c r="H30" s="16"/>
      <c r="I30" s="16"/>
      <c r="J30" s="16"/>
      <c r="K30" s="16"/>
    </row>
    <row r="31" spans="1:11" x14ac:dyDescent="0.2">
      <c r="A31" s="24" t="s">
        <v>25</v>
      </c>
      <c r="B31" s="25">
        <f>B17-SUM(B19:B30)</f>
        <v>0</v>
      </c>
      <c r="C31" s="25">
        <f>C17-SUM(C19:C30)</f>
        <v>0</v>
      </c>
      <c r="D31" s="25">
        <f>D17-SUM(D19:D30)</f>
        <v>0</v>
      </c>
      <c r="E31" s="25">
        <f>E17-SUM(E19:E30)</f>
        <v>0</v>
      </c>
      <c r="F31" s="25">
        <f>F17-SUM(F19:F30)</f>
        <v>0</v>
      </c>
      <c r="H31" s="16"/>
      <c r="I31" s="16"/>
      <c r="J31" s="16"/>
      <c r="K31" s="16"/>
    </row>
    <row r="32" spans="1:11" x14ac:dyDescent="0.2">
      <c r="A32" s="26" t="s">
        <v>26</v>
      </c>
      <c r="B32" s="31">
        <f>IFERROR(B31/B9,0)</f>
        <v>0</v>
      </c>
      <c r="C32" s="31">
        <f>IFERROR(C31/C9,0)</f>
        <v>0</v>
      </c>
      <c r="D32" s="31">
        <f>IFERROR(D31/D9,0)</f>
        <v>0</v>
      </c>
      <c r="E32" s="31">
        <f>IFERROR(E31/E9,0)</f>
        <v>0</v>
      </c>
      <c r="F32" s="31">
        <f>IFERROR(F31/F9,0)</f>
        <v>0</v>
      </c>
      <c r="G32" s="18"/>
      <c r="H32" s="17"/>
      <c r="I32" s="17"/>
      <c r="J32" s="17"/>
      <c r="K32" s="17"/>
    </row>
    <row r="33" spans="1:11" x14ac:dyDescent="0.2">
      <c r="B33" s="22"/>
      <c r="C33" s="22"/>
      <c r="D33" s="22"/>
      <c r="E33" s="16"/>
      <c r="F33" s="16"/>
      <c r="H33" s="16"/>
      <c r="I33" s="16"/>
      <c r="J33" s="16"/>
      <c r="K33" s="16"/>
    </row>
    <row r="34" spans="1:11" x14ac:dyDescent="0.2">
      <c r="A34" s="28" t="s">
        <v>27</v>
      </c>
      <c r="B34" s="22"/>
      <c r="C34" s="22"/>
      <c r="D34" s="22"/>
      <c r="E34" s="16"/>
      <c r="F34" s="16"/>
      <c r="H34" s="16"/>
      <c r="I34" s="16"/>
      <c r="J34" s="16"/>
      <c r="K34" s="16"/>
    </row>
    <row r="35" spans="1:11" x14ac:dyDescent="0.2">
      <c r="A35" s="24" t="s">
        <v>28</v>
      </c>
      <c r="B35" s="25">
        <f>B31-B34</f>
        <v>0</v>
      </c>
      <c r="C35" s="25">
        <f t="shared" ref="C35:F35" si="4">C31-C34</f>
        <v>0</v>
      </c>
      <c r="D35" s="25">
        <f t="shared" si="4"/>
        <v>0</v>
      </c>
      <c r="E35" s="25">
        <f t="shared" si="4"/>
        <v>0</v>
      </c>
      <c r="F35" s="25">
        <f t="shared" si="4"/>
        <v>0</v>
      </c>
      <c r="H35" s="16"/>
      <c r="I35" s="16"/>
      <c r="J35" s="16"/>
      <c r="K35" s="16"/>
    </row>
    <row r="36" spans="1:11" x14ac:dyDescent="0.2">
      <c r="B36" s="22"/>
      <c r="C36" s="22"/>
      <c r="D36" s="22"/>
      <c r="E36" s="16"/>
      <c r="F36" s="16"/>
      <c r="H36" s="16"/>
      <c r="I36" s="16"/>
      <c r="J36" s="16"/>
      <c r="K36" s="16"/>
    </row>
    <row r="37" spans="1:11" x14ac:dyDescent="0.2">
      <c r="A37" s="7" t="s">
        <v>29</v>
      </c>
      <c r="B37" s="22"/>
      <c r="C37" s="22"/>
      <c r="D37" s="22"/>
      <c r="E37" s="16"/>
      <c r="F37" s="16"/>
      <c r="H37" s="16"/>
      <c r="I37" s="16"/>
      <c r="J37" s="16"/>
      <c r="K37" s="16"/>
    </row>
    <row r="38" spans="1:11" x14ac:dyDescent="0.2">
      <c r="A38" s="24" t="s">
        <v>30</v>
      </c>
      <c r="B38" s="25">
        <f>B35-B37</f>
        <v>0</v>
      </c>
      <c r="C38" s="25">
        <f>C35-C37</f>
        <v>0</v>
      </c>
      <c r="D38" s="25">
        <f>D35-D37</f>
        <v>0</v>
      </c>
      <c r="E38" s="25">
        <f>E35-E37</f>
        <v>0</v>
      </c>
      <c r="F38" s="25">
        <f>F35-F37</f>
        <v>0</v>
      </c>
      <c r="H38" s="16"/>
      <c r="I38" s="16"/>
      <c r="J38" s="16"/>
      <c r="K38" s="16"/>
    </row>
    <row r="39" spans="1:11" x14ac:dyDescent="0.2">
      <c r="A39" s="26" t="s">
        <v>31</v>
      </c>
      <c r="B39" s="31">
        <f>IFERROR(B38/B9,0)</f>
        <v>0</v>
      </c>
      <c r="C39" s="31">
        <f>IFERROR(C38/C9,0)</f>
        <v>0</v>
      </c>
      <c r="D39" s="31">
        <f>IFERROR(D38/D9,0)</f>
        <v>0</v>
      </c>
      <c r="E39" s="31">
        <f>IFERROR(E38/E9,0)</f>
        <v>0</v>
      </c>
      <c r="F39" s="31">
        <f>IFERROR(F38/F9,0)</f>
        <v>0</v>
      </c>
      <c r="H39" s="16"/>
      <c r="I39" s="16"/>
      <c r="J39" s="16"/>
      <c r="K39" s="16"/>
    </row>
    <row r="40" spans="1:11" x14ac:dyDescent="0.2">
      <c r="B40" s="22"/>
      <c r="C40" s="22"/>
      <c r="D40" s="22"/>
      <c r="E40" s="16"/>
      <c r="F40" s="16"/>
      <c r="H40" s="16"/>
      <c r="I40" s="16"/>
      <c r="J40" s="16"/>
      <c r="K40" s="16"/>
    </row>
    <row r="41" spans="1:11" x14ac:dyDescent="0.2">
      <c r="A41" s="7" t="s">
        <v>32</v>
      </c>
      <c r="B41" s="22"/>
      <c r="C41" s="22"/>
      <c r="D41" s="22"/>
      <c r="E41" s="16"/>
      <c r="F41" s="16"/>
      <c r="G41" s="18"/>
      <c r="H41" s="17"/>
      <c r="I41" s="17"/>
      <c r="J41" s="17"/>
      <c r="K41" s="17"/>
    </row>
    <row r="42" spans="1:11" x14ac:dyDescent="0.2">
      <c r="A42" s="24" t="s">
        <v>33</v>
      </c>
      <c r="B42" s="25">
        <f>B38+B41</f>
        <v>0</v>
      </c>
      <c r="C42" s="25">
        <f t="shared" ref="C42:F42" si="5">C38+C41</f>
        <v>0</v>
      </c>
      <c r="D42" s="25">
        <f t="shared" si="5"/>
        <v>0</v>
      </c>
      <c r="E42" s="25">
        <f t="shared" si="5"/>
        <v>0</v>
      </c>
      <c r="F42" s="25">
        <f t="shared" si="5"/>
        <v>0</v>
      </c>
      <c r="H42" s="15"/>
      <c r="I42" s="15"/>
      <c r="J42" s="15"/>
      <c r="K42" s="15"/>
    </row>
    <row r="43" spans="1:11" x14ac:dyDescent="0.2">
      <c r="B43" s="22"/>
      <c r="C43" s="22"/>
      <c r="D43" s="22"/>
      <c r="E43" s="16"/>
      <c r="F43" s="16"/>
      <c r="H43" s="15"/>
      <c r="I43" s="15"/>
      <c r="J43" s="15"/>
      <c r="K43" s="15"/>
    </row>
    <row r="44" spans="1:11" x14ac:dyDescent="0.2">
      <c r="A44" s="7" t="s">
        <v>34</v>
      </c>
      <c r="B44" s="22"/>
      <c r="C44" s="22"/>
      <c r="D44" s="22"/>
      <c r="E44" s="16"/>
      <c r="F44" s="16"/>
      <c r="H44" s="15"/>
      <c r="I44" s="15"/>
      <c r="J44" s="15"/>
      <c r="K44" s="15"/>
    </row>
    <row r="45" spans="1:11" x14ac:dyDescent="0.2">
      <c r="A45" s="7" t="s">
        <v>35</v>
      </c>
      <c r="B45" s="22"/>
      <c r="C45" s="22"/>
      <c r="D45" s="22"/>
      <c r="E45" s="16"/>
      <c r="F45" s="16"/>
      <c r="H45" s="15"/>
      <c r="I45" s="15"/>
      <c r="J45" s="15"/>
      <c r="K45" s="15"/>
    </row>
    <row r="46" spans="1:11" x14ac:dyDescent="0.2">
      <c r="A46" s="24" t="s">
        <v>36</v>
      </c>
      <c r="B46" s="25">
        <f>B42+SUM(B44:B45)</f>
        <v>0</v>
      </c>
      <c r="C46" s="25">
        <f>C42+SUM(C44:C45)</f>
        <v>0</v>
      </c>
      <c r="D46" s="25">
        <f>D42+SUM(D44:D45)</f>
        <v>0</v>
      </c>
      <c r="E46" s="25">
        <f>E42+SUM(E44:E45)</f>
        <v>0</v>
      </c>
      <c r="F46" s="25">
        <f>F42+SUM(F44:F45)</f>
        <v>0</v>
      </c>
      <c r="H46" s="15"/>
      <c r="I46" s="15"/>
      <c r="J46" s="15"/>
      <c r="K46" s="15"/>
    </row>
    <row r="47" spans="1:11" x14ac:dyDescent="0.2">
      <c r="B47" s="22"/>
      <c r="C47" s="22"/>
      <c r="D47" s="22"/>
      <c r="E47" s="16"/>
      <c r="F47" s="16"/>
      <c r="H47" s="15"/>
      <c r="I47" s="15"/>
      <c r="J47" s="15"/>
      <c r="K47" s="15"/>
    </row>
    <row r="48" spans="1:11" x14ac:dyDescent="0.2">
      <c r="A48" s="7" t="s">
        <v>37</v>
      </c>
      <c r="B48" s="22"/>
      <c r="C48" s="22"/>
      <c r="D48" s="22"/>
      <c r="E48" s="16"/>
      <c r="F48" s="16"/>
      <c r="H48" s="15"/>
      <c r="I48" s="15"/>
      <c r="J48" s="15"/>
      <c r="K48" s="15"/>
    </row>
    <row r="49" spans="1:11" x14ac:dyDescent="0.2">
      <c r="A49" s="7" t="s">
        <v>38</v>
      </c>
      <c r="B49" s="22"/>
      <c r="C49" s="22"/>
      <c r="D49" s="22"/>
      <c r="E49" s="16"/>
      <c r="F49" s="16"/>
      <c r="H49" s="15"/>
      <c r="I49" s="15"/>
      <c r="J49" s="15"/>
      <c r="K49" s="15"/>
    </row>
    <row r="50" spans="1:11" x14ac:dyDescent="0.2">
      <c r="A50" s="1" t="s">
        <v>39</v>
      </c>
      <c r="B50" s="2">
        <f>B46+SUM(B48:B49)</f>
        <v>0</v>
      </c>
      <c r="C50" s="2">
        <f>C46+SUM(C48:C49)</f>
        <v>0</v>
      </c>
      <c r="D50" s="2">
        <f>D46+SUM(D48:D49)</f>
        <v>0</v>
      </c>
      <c r="E50" s="2">
        <f>E46+SUM(E48:E49)</f>
        <v>0</v>
      </c>
      <c r="F50" s="2">
        <f>F46+SUM(F48:F49)</f>
        <v>0</v>
      </c>
      <c r="H50" s="15"/>
      <c r="I50" s="15"/>
      <c r="J50" s="15"/>
      <c r="K50" s="15"/>
    </row>
    <row r="51" spans="1:11" x14ac:dyDescent="0.2">
      <c r="B51" s="15"/>
      <c r="C51" s="15"/>
      <c r="D51" s="15"/>
      <c r="E51" s="15"/>
      <c r="F51" s="15"/>
      <c r="H51" s="15"/>
      <c r="I51" s="15"/>
      <c r="J51" s="15"/>
      <c r="K51" s="15"/>
    </row>
    <row r="52" spans="1:11" x14ac:dyDescent="0.2">
      <c r="B52" s="15"/>
      <c r="C52" s="15"/>
      <c r="D52" s="15"/>
      <c r="E52" s="15"/>
      <c r="F52" s="15"/>
      <c r="H52" s="15"/>
      <c r="I52" s="15"/>
      <c r="J52" s="15"/>
      <c r="K52" s="15"/>
    </row>
    <row r="53" spans="1:11" x14ac:dyDescent="0.2">
      <c r="B53" s="15"/>
      <c r="C53" s="15"/>
      <c r="D53" s="15"/>
      <c r="E53" s="15"/>
      <c r="F53" s="15"/>
      <c r="H53" s="15"/>
      <c r="I53" s="15"/>
      <c r="J53" s="15"/>
      <c r="K53" s="15"/>
    </row>
    <row r="54" spans="1:11" x14ac:dyDescent="0.2">
      <c r="B54" s="15"/>
      <c r="C54" s="15"/>
      <c r="D54" s="15"/>
      <c r="E54" s="15"/>
      <c r="F54" s="15"/>
      <c r="H54" s="15"/>
      <c r="I54" s="15"/>
      <c r="J54" s="15"/>
      <c r="K54" s="15"/>
    </row>
    <row r="55" spans="1:11" x14ac:dyDescent="0.2">
      <c r="B55" s="15"/>
      <c r="C55" s="15"/>
      <c r="D55" s="15"/>
      <c r="E55" s="15"/>
      <c r="F55" s="15"/>
      <c r="H55" s="15"/>
      <c r="I55" s="15"/>
      <c r="J55" s="15"/>
      <c r="K55" s="15"/>
    </row>
    <row r="56" spans="1:11" x14ac:dyDescent="0.2">
      <c r="B56" s="15"/>
      <c r="C56" s="15"/>
      <c r="D56" s="15"/>
      <c r="E56" s="15"/>
      <c r="F56" s="15"/>
      <c r="H56" s="15"/>
      <c r="I56" s="15"/>
      <c r="J56" s="15"/>
      <c r="K56" s="15"/>
    </row>
    <row r="57" spans="1:11" x14ac:dyDescent="0.2">
      <c r="B57" s="15"/>
      <c r="C57" s="15"/>
      <c r="D57" s="15"/>
      <c r="E57" s="15"/>
      <c r="F57" s="15"/>
      <c r="H57" s="15"/>
      <c r="I57" s="15"/>
      <c r="J57" s="15"/>
      <c r="K57" s="15"/>
    </row>
    <row r="58" spans="1:11" x14ac:dyDescent="0.2">
      <c r="B58" s="15"/>
      <c r="C58" s="15"/>
      <c r="D58" s="15"/>
      <c r="E58" s="15"/>
      <c r="F58" s="15"/>
      <c r="H58" s="15"/>
      <c r="I58" s="15"/>
      <c r="J58" s="15"/>
      <c r="K58" s="15"/>
    </row>
    <row r="59" spans="1:11" x14ac:dyDescent="0.2">
      <c r="B59" s="15"/>
      <c r="C59" s="15"/>
      <c r="D59" s="15"/>
      <c r="E59" s="15"/>
      <c r="F59" s="15"/>
      <c r="H59" s="15"/>
      <c r="I59" s="15"/>
      <c r="J59" s="15"/>
      <c r="K59" s="1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513AB-F745-4B74-8793-EC3D82EF838C}">
  <dimension ref="A1:K59"/>
  <sheetViews>
    <sheetView showGridLines="0" topLeftCell="A3" zoomScale="115" zoomScaleNormal="115" workbookViewId="0">
      <selection activeCell="I28" sqref="I28"/>
    </sheetView>
  </sheetViews>
  <sheetFormatPr defaultColWidth="9.140625" defaultRowHeight="11.25" x14ac:dyDescent="0.2"/>
  <cols>
    <col min="1" max="1" width="38.5703125" style="7" customWidth="1"/>
    <col min="2" max="2" width="17.140625" style="9" customWidth="1"/>
    <col min="3" max="11" width="10.7109375" style="9" customWidth="1"/>
    <col min="12" max="16384" width="9.140625" style="7"/>
  </cols>
  <sheetData>
    <row r="1" spans="1:11" s="6" customFormat="1" ht="12.75" x14ac:dyDescent="0.2">
      <c r="A1" s="3"/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s="6" customFormat="1" ht="12.75" x14ac:dyDescent="0.2">
      <c r="A2" s="3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 ht="12" thickBot="1" x14ac:dyDescent="0.25"/>
    <row r="5" spans="1:11" x14ac:dyDescent="0.2">
      <c r="A5" s="10" t="s">
        <v>0</v>
      </c>
      <c r="B5" s="11"/>
      <c r="C5" s="11"/>
      <c r="D5" s="11"/>
      <c r="E5" s="12"/>
      <c r="F5" s="12"/>
      <c r="G5" s="12" t="s">
        <v>40</v>
      </c>
      <c r="K5" s="19"/>
    </row>
    <row r="6" spans="1:11" x14ac:dyDescent="0.2">
      <c r="A6" s="18"/>
      <c r="E6" s="19"/>
      <c r="F6" s="19"/>
      <c r="G6" s="19"/>
      <c r="K6" s="19"/>
    </row>
    <row r="7" spans="1:11" x14ac:dyDescent="0.2">
      <c r="A7" s="33" t="s">
        <v>1</v>
      </c>
      <c r="B7" s="32" t="s">
        <v>41</v>
      </c>
      <c r="C7" s="32" t="s">
        <v>42</v>
      </c>
      <c r="D7" s="32" t="s">
        <v>43</v>
      </c>
      <c r="E7" s="32" t="s">
        <v>44</v>
      </c>
      <c r="F7" s="32" t="s">
        <v>45</v>
      </c>
      <c r="G7" s="32" t="s">
        <v>2</v>
      </c>
      <c r="K7" s="19"/>
    </row>
    <row r="8" spans="1:11" x14ac:dyDescent="0.2">
      <c r="A8" s="18"/>
      <c r="B8" s="20"/>
      <c r="C8" s="20"/>
      <c r="D8" s="20"/>
      <c r="E8" s="19"/>
      <c r="F8" s="19"/>
      <c r="G8" s="19"/>
      <c r="K8" s="19"/>
    </row>
    <row r="9" spans="1:11" x14ac:dyDescent="0.2">
      <c r="A9" s="7" t="s">
        <v>7</v>
      </c>
      <c r="B9" s="21"/>
      <c r="C9" s="21"/>
      <c r="D9" s="21"/>
      <c r="E9" s="7"/>
      <c r="F9" s="7"/>
      <c r="G9" s="7"/>
      <c r="H9" s="20"/>
      <c r="I9" s="20"/>
      <c r="J9" s="20"/>
      <c r="K9" s="19"/>
    </row>
    <row r="10" spans="1:11" x14ac:dyDescent="0.2">
      <c r="A10" s="26" t="s">
        <v>8</v>
      </c>
      <c r="B10" s="27"/>
      <c r="C10" s="31">
        <f>IFERROR(((C9-B9)/B9),0)</f>
        <v>0</v>
      </c>
      <c r="D10" s="31">
        <f t="shared" ref="D10:G10" si="0">IFERROR(((D9-C9)/C9),0)</f>
        <v>0</v>
      </c>
      <c r="E10" s="31">
        <f t="shared" si="0"/>
        <v>0</v>
      </c>
      <c r="F10" s="31">
        <f t="shared" si="0"/>
        <v>0</v>
      </c>
      <c r="G10" s="31">
        <f t="shared" si="0"/>
        <v>0</v>
      </c>
    </row>
    <row r="11" spans="1:11" x14ac:dyDescent="0.2">
      <c r="B11" s="22"/>
      <c r="C11" s="22"/>
      <c r="D11" s="22"/>
      <c r="E11" s="16"/>
      <c r="F11" s="16"/>
      <c r="G11" s="16"/>
      <c r="H11" s="16"/>
      <c r="I11" s="16"/>
      <c r="J11" s="16"/>
      <c r="K11" s="16"/>
    </row>
    <row r="12" spans="1:11" x14ac:dyDescent="0.2">
      <c r="A12" s="7" t="s">
        <v>9</v>
      </c>
      <c r="B12" s="22"/>
      <c r="C12" s="22"/>
      <c r="D12" s="22"/>
      <c r="E12" s="16"/>
      <c r="F12" s="16"/>
      <c r="G12" s="16"/>
      <c r="H12" s="16"/>
      <c r="I12" s="16"/>
      <c r="J12" s="16"/>
      <c r="K12" s="16"/>
    </row>
    <row r="13" spans="1:11" x14ac:dyDescent="0.2">
      <c r="A13" s="24" t="s">
        <v>10</v>
      </c>
      <c r="B13" s="25">
        <f>B9-B12</f>
        <v>0</v>
      </c>
      <c r="C13" s="25">
        <f t="shared" ref="C13:F13" si="1">C9-C12</f>
        <v>0</v>
      </c>
      <c r="D13" s="25">
        <f t="shared" si="1"/>
        <v>0</v>
      </c>
      <c r="E13" s="25">
        <f t="shared" si="1"/>
        <v>0</v>
      </c>
      <c r="F13" s="25">
        <f t="shared" si="1"/>
        <v>0</v>
      </c>
      <c r="G13" s="25">
        <f t="shared" ref="G13" si="2">G9-G12</f>
        <v>0</v>
      </c>
      <c r="H13" s="17"/>
      <c r="I13" s="17"/>
      <c r="J13" s="17"/>
      <c r="K13" s="17"/>
    </row>
    <row r="14" spans="1:11" x14ac:dyDescent="0.2">
      <c r="A14" s="26" t="s">
        <v>11</v>
      </c>
      <c r="B14" s="31">
        <f>IFERROR(B13/B9,0)</f>
        <v>0</v>
      </c>
      <c r="C14" s="31">
        <f t="shared" ref="C14:F14" si="3">IFERROR(C13/C9,0)</f>
        <v>0</v>
      </c>
      <c r="D14" s="31">
        <f t="shared" si="3"/>
        <v>0</v>
      </c>
      <c r="E14" s="31">
        <f t="shared" si="3"/>
        <v>0</v>
      </c>
      <c r="F14" s="31">
        <f t="shared" si="3"/>
        <v>0</v>
      </c>
      <c r="G14" s="31">
        <f t="shared" ref="G14" si="4">IFERROR(G13/G9,0)</f>
        <v>0</v>
      </c>
      <c r="H14" s="16"/>
      <c r="I14" s="16"/>
      <c r="J14" s="16"/>
      <c r="K14" s="16"/>
    </row>
    <row r="15" spans="1:11" x14ac:dyDescent="0.2">
      <c r="B15" s="22"/>
      <c r="C15" s="22"/>
      <c r="D15" s="22"/>
      <c r="E15" s="16"/>
      <c r="F15" s="16"/>
      <c r="G15" s="16"/>
      <c r="H15" s="16"/>
      <c r="I15" s="16"/>
      <c r="J15" s="16"/>
      <c r="K15" s="16"/>
    </row>
    <row r="16" spans="1:11" x14ac:dyDescent="0.2">
      <c r="A16" s="7" t="s">
        <v>12</v>
      </c>
      <c r="B16" s="22"/>
      <c r="C16" s="22"/>
      <c r="D16" s="22"/>
      <c r="E16" s="16"/>
      <c r="F16" s="16"/>
      <c r="G16" s="16"/>
      <c r="H16" s="17"/>
      <c r="I16" s="17"/>
      <c r="J16" s="17"/>
      <c r="K16" s="17"/>
    </row>
    <row r="17" spans="1:11" x14ac:dyDescent="0.2">
      <c r="A17" s="24" t="s">
        <v>13</v>
      </c>
      <c r="B17" s="25">
        <f>B13+B16</f>
        <v>0</v>
      </c>
      <c r="C17" s="25">
        <f t="shared" ref="C17:F17" si="5">C13+C16</f>
        <v>0</v>
      </c>
      <c r="D17" s="25">
        <f t="shared" si="5"/>
        <v>0</v>
      </c>
      <c r="E17" s="25">
        <f t="shared" si="5"/>
        <v>0</v>
      </c>
      <c r="F17" s="25">
        <f t="shared" si="5"/>
        <v>0</v>
      </c>
      <c r="G17" s="25">
        <f t="shared" ref="G17" si="6">G13+G16</f>
        <v>0</v>
      </c>
      <c r="H17" s="16"/>
      <c r="I17" s="16"/>
      <c r="J17" s="16"/>
      <c r="K17" s="16"/>
    </row>
    <row r="18" spans="1:11" x14ac:dyDescent="0.2">
      <c r="B18" s="22"/>
      <c r="C18" s="22"/>
      <c r="D18" s="22"/>
      <c r="E18" s="16"/>
      <c r="F18" s="16"/>
      <c r="G18" s="16"/>
      <c r="H18" s="16"/>
      <c r="I18" s="16"/>
      <c r="J18" s="16"/>
      <c r="K18" s="16"/>
    </row>
    <row r="19" spans="1:11" x14ac:dyDescent="0.2">
      <c r="A19" s="7" t="s">
        <v>14</v>
      </c>
      <c r="B19" s="22"/>
      <c r="C19" s="22"/>
      <c r="D19" s="22"/>
      <c r="E19" s="17"/>
      <c r="F19" s="17"/>
      <c r="G19" s="17"/>
      <c r="H19" s="16"/>
      <c r="I19" s="16"/>
      <c r="J19" s="16"/>
      <c r="K19" s="16"/>
    </row>
    <row r="20" spans="1:11" x14ac:dyDescent="0.2">
      <c r="A20" s="7" t="s">
        <v>15</v>
      </c>
      <c r="B20" s="22"/>
      <c r="C20" s="22"/>
      <c r="D20" s="22"/>
      <c r="E20" s="17"/>
      <c r="F20" s="17"/>
      <c r="G20" s="17"/>
      <c r="H20" s="16"/>
      <c r="I20" s="16"/>
      <c r="J20" s="16"/>
      <c r="K20" s="16"/>
    </row>
    <row r="21" spans="1:11" x14ac:dyDescent="0.2">
      <c r="A21" s="7" t="s">
        <v>16</v>
      </c>
      <c r="B21" s="22"/>
      <c r="C21" s="22"/>
      <c r="D21" s="22"/>
      <c r="E21" s="17"/>
      <c r="F21" s="17"/>
      <c r="G21" s="17"/>
      <c r="H21" s="16"/>
      <c r="I21" s="16"/>
      <c r="J21" s="16"/>
      <c r="K21" s="16"/>
    </row>
    <row r="22" spans="1:11" x14ac:dyDescent="0.2">
      <c r="A22" s="7" t="s">
        <v>17</v>
      </c>
      <c r="B22" s="22"/>
      <c r="C22" s="22"/>
      <c r="D22" s="22"/>
      <c r="E22" s="16"/>
      <c r="F22" s="16"/>
      <c r="G22" s="16"/>
      <c r="H22" s="16"/>
      <c r="I22" s="16"/>
      <c r="J22" s="16"/>
      <c r="K22" s="16"/>
    </row>
    <row r="23" spans="1:11" x14ac:dyDescent="0.2">
      <c r="A23" s="7" t="s">
        <v>18</v>
      </c>
      <c r="B23" s="22"/>
      <c r="C23" s="22"/>
      <c r="D23" s="22"/>
      <c r="E23" s="16"/>
      <c r="F23" s="16"/>
      <c r="G23" s="16"/>
      <c r="H23" s="16"/>
      <c r="I23" s="16"/>
      <c r="J23" s="16"/>
      <c r="K23" s="16"/>
    </row>
    <row r="24" spans="1:11" x14ac:dyDescent="0.2">
      <c r="B24" s="22"/>
      <c r="C24" s="22"/>
      <c r="D24" s="22"/>
      <c r="E24" s="16"/>
      <c r="F24" s="16"/>
      <c r="G24" s="16"/>
      <c r="H24" s="16"/>
      <c r="I24" s="16"/>
      <c r="J24" s="16"/>
      <c r="K24" s="16"/>
    </row>
    <row r="25" spans="1:11" x14ac:dyDescent="0.2">
      <c r="A25" s="7" t="s">
        <v>19</v>
      </c>
      <c r="B25" s="22"/>
      <c r="C25" s="22"/>
      <c r="D25" s="22"/>
      <c r="E25" s="16"/>
      <c r="F25" s="16"/>
      <c r="G25" s="16"/>
      <c r="H25" s="16"/>
      <c r="I25" s="16"/>
      <c r="J25" s="16"/>
      <c r="K25" s="16"/>
    </row>
    <row r="26" spans="1:11" x14ac:dyDescent="0.2">
      <c r="A26" s="7" t="s">
        <v>20</v>
      </c>
      <c r="B26" s="22"/>
      <c r="C26" s="22"/>
      <c r="D26" s="22"/>
      <c r="E26" s="16"/>
      <c r="F26" s="16"/>
      <c r="G26" s="16"/>
      <c r="H26" s="16"/>
      <c r="I26" s="16"/>
      <c r="J26" s="16"/>
      <c r="K26" s="16"/>
    </row>
    <row r="27" spans="1:11" x14ac:dyDescent="0.2">
      <c r="A27" s="7" t="s">
        <v>21</v>
      </c>
      <c r="B27" s="22"/>
      <c r="C27" s="22"/>
      <c r="D27" s="22"/>
      <c r="E27" s="16"/>
      <c r="F27" s="16"/>
      <c r="G27" s="16"/>
      <c r="H27" s="16"/>
      <c r="I27" s="16"/>
      <c r="J27" s="16"/>
      <c r="K27" s="16"/>
    </row>
    <row r="28" spans="1:11" x14ac:dyDescent="0.2">
      <c r="A28" s="7" t="s">
        <v>22</v>
      </c>
      <c r="B28" s="22"/>
      <c r="C28" s="22"/>
      <c r="D28" s="22"/>
      <c r="E28" s="16"/>
      <c r="F28" s="16"/>
      <c r="G28" s="16"/>
      <c r="H28" s="16"/>
      <c r="I28" s="16"/>
      <c r="J28" s="16"/>
      <c r="K28" s="16"/>
    </row>
    <row r="29" spans="1:11" x14ac:dyDescent="0.2">
      <c r="A29" s="7" t="s">
        <v>23</v>
      </c>
      <c r="B29" s="22"/>
      <c r="C29" s="22"/>
      <c r="D29" s="22"/>
      <c r="E29" s="16"/>
      <c r="F29" s="16"/>
      <c r="G29" s="16"/>
      <c r="H29" s="16"/>
      <c r="I29" s="16"/>
      <c r="J29" s="16"/>
      <c r="K29" s="16"/>
    </row>
    <row r="30" spans="1:11" x14ac:dyDescent="0.2">
      <c r="A30" s="7" t="s">
        <v>24</v>
      </c>
      <c r="B30" s="22"/>
      <c r="C30" s="22"/>
      <c r="D30" s="22"/>
      <c r="E30" s="16"/>
      <c r="F30" s="16"/>
      <c r="G30" s="16"/>
      <c r="H30" s="16"/>
      <c r="I30" s="16"/>
      <c r="J30" s="16"/>
      <c r="K30" s="16"/>
    </row>
    <row r="31" spans="1:11" x14ac:dyDescent="0.2">
      <c r="A31" s="24" t="s">
        <v>25</v>
      </c>
      <c r="B31" s="25">
        <f t="shared" ref="B31:G31" si="7">B17-SUM(B19:B30)</f>
        <v>0</v>
      </c>
      <c r="C31" s="25">
        <f t="shared" si="7"/>
        <v>0</v>
      </c>
      <c r="D31" s="25">
        <f t="shared" si="7"/>
        <v>0</v>
      </c>
      <c r="E31" s="25">
        <f t="shared" si="7"/>
        <v>0</v>
      </c>
      <c r="F31" s="25">
        <f t="shared" si="7"/>
        <v>0</v>
      </c>
      <c r="G31" s="25">
        <f t="shared" si="7"/>
        <v>0</v>
      </c>
      <c r="H31" s="16"/>
      <c r="I31" s="16"/>
      <c r="J31" s="16"/>
      <c r="K31" s="16"/>
    </row>
    <row r="32" spans="1:11" x14ac:dyDescent="0.2">
      <c r="A32" s="26" t="s">
        <v>26</v>
      </c>
      <c r="B32" s="31">
        <f t="shared" ref="B32:G32" si="8">IFERROR(B31/B9,0)</f>
        <v>0</v>
      </c>
      <c r="C32" s="31">
        <f t="shared" si="8"/>
        <v>0</v>
      </c>
      <c r="D32" s="31">
        <f t="shared" si="8"/>
        <v>0</v>
      </c>
      <c r="E32" s="31">
        <f t="shared" si="8"/>
        <v>0</v>
      </c>
      <c r="F32" s="31">
        <f t="shared" si="8"/>
        <v>0</v>
      </c>
      <c r="G32" s="31">
        <f t="shared" si="8"/>
        <v>0</v>
      </c>
      <c r="H32" s="17"/>
      <c r="I32" s="17"/>
      <c r="J32" s="17"/>
      <c r="K32" s="17"/>
    </row>
    <row r="33" spans="1:11" x14ac:dyDescent="0.2">
      <c r="B33" s="22"/>
      <c r="C33" s="22"/>
      <c r="D33" s="22"/>
      <c r="E33" s="16"/>
      <c r="F33" s="16"/>
      <c r="G33" s="16"/>
      <c r="H33" s="16"/>
      <c r="I33" s="16"/>
      <c r="J33" s="16"/>
      <c r="K33" s="16"/>
    </row>
    <row r="34" spans="1:11" x14ac:dyDescent="0.2">
      <c r="A34" s="28" t="s">
        <v>27</v>
      </c>
      <c r="B34" s="22"/>
      <c r="C34" s="22"/>
      <c r="D34" s="22"/>
      <c r="E34" s="16"/>
      <c r="F34" s="16"/>
      <c r="G34" s="16"/>
      <c r="H34" s="16"/>
      <c r="I34" s="16"/>
      <c r="J34" s="16"/>
      <c r="K34" s="16"/>
    </row>
    <row r="35" spans="1:11" x14ac:dyDescent="0.2">
      <c r="A35" s="24" t="s">
        <v>28</v>
      </c>
      <c r="B35" s="25">
        <f>B31-B34</f>
        <v>0</v>
      </c>
      <c r="C35" s="25">
        <f t="shared" ref="C35:F35" si="9">C31-C34</f>
        <v>0</v>
      </c>
      <c r="D35" s="25">
        <f t="shared" si="9"/>
        <v>0</v>
      </c>
      <c r="E35" s="25">
        <f t="shared" si="9"/>
        <v>0</v>
      </c>
      <c r="F35" s="25">
        <f t="shared" si="9"/>
        <v>0</v>
      </c>
      <c r="G35" s="25">
        <f t="shared" ref="G35" si="10">G31-G34</f>
        <v>0</v>
      </c>
      <c r="H35" s="16"/>
      <c r="I35" s="16"/>
      <c r="J35" s="16"/>
      <c r="K35" s="16"/>
    </row>
    <row r="36" spans="1:11" x14ac:dyDescent="0.2">
      <c r="B36" s="22"/>
      <c r="C36" s="22"/>
      <c r="D36" s="22"/>
      <c r="E36" s="16"/>
      <c r="F36" s="16"/>
      <c r="G36" s="16"/>
      <c r="H36" s="16"/>
      <c r="I36" s="16"/>
      <c r="J36" s="16"/>
      <c r="K36" s="16"/>
    </row>
    <row r="37" spans="1:11" x14ac:dyDescent="0.2">
      <c r="A37" s="7" t="s">
        <v>29</v>
      </c>
      <c r="B37" s="22"/>
      <c r="C37" s="22"/>
      <c r="D37" s="22"/>
      <c r="E37" s="16"/>
      <c r="F37" s="16"/>
      <c r="G37" s="16"/>
      <c r="H37" s="16"/>
      <c r="I37" s="16"/>
      <c r="J37" s="16"/>
      <c r="K37" s="16"/>
    </row>
    <row r="38" spans="1:11" x14ac:dyDescent="0.2">
      <c r="A38" s="24" t="s">
        <v>30</v>
      </c>
      <c r="B38" s="25">
        <f t="shared" ref="B38:G38" si="11">B35-B37</f>
        <v>0</v>
      </c>
      <c r="C38" s="25">
        <f t="shared" si="11"/>
        <v>0</v>
      </c>
      <c r="D38" s="25">
        <f t="shared" si="11"/>
        <v>0</v>
      </c>
      <c r="E38" s="25">
        <f t="shared" si="11"/>
        <v>0</v>
      </c>
      <c r="F38" s="25">
        <f t="shared" si="11"/>
        <v>0</v>
      </c>
      <c r="G38" s="25">
        <f t="shared" si="11"/>
        <v>0</v>
      </c>
      <c r="H38" s="16"/>
      <c r="I38" s="16"/>
      <c r="J38" s="16"/>
      <c r="K38" s="16"/>
    </row>
    <row r="39" spans="1:11" x14ac:dyDescent="0.2">
      <c r="A39" s="26" t="s">
        <v>31</v>
      </c>
      <c r="B39" s="31">
        <f t="shared" ref="B39:G39" si="12">IFERROR(B38/B9,0)</f>
        <v>0</v>
      </c>
      <c r="C39" s="31">
        <f t="shared" si="12"/>
        <v>0</v>
      </c>
      <c r="D39" s="31">
        <f t="shared" si="12"/>
        <v>0</v>
      </c>
      <c r="E39" s="31">
        <f t="shared" si="12"/>
        <v>0</v>
      </c>
      <c r="F39" s="31">
        <f t="shared" si="12"/>
        <v>0</v>
      </c>
      <c r="G39" s="31">
        <f t="shared" si="12"/>
        <v>0</v>
      </c>
      <c r="H39" s="16"/>
      <c r="I39" s="16"/>
      <c r="J39" s="16"/>
      <c r="K39" s="16"/>
    </row>
    <row r="40" spans="1:11" x14ac:dyDescent="0.2">
      <c r="B40" s="22"/>
      <c r="C40" s="22"/>
      <c r="D40" s="22"/>
      <c r="E40" s="16"/>
      <c r="F40" s="16"/>
      <c r="G40" s="16"/>
      <c r="H40" s="16"/>
      <c r="I40" s="16"/>
      <c r="J40" s="16"/>
      <c r="K40" s="16"/>
    </row>
    <row r="41" spans="1:11" x14ac:dyDescent="0.2">
      <c r="A41" s="7" t="s">
        <v>32</v>
      </c>
      <c r="B41" s="22"/>
      <c r="C41" s="22"/>
      <c r="D41" s="22"/>
      <c r="E41" s="16"/>
      <c r="F41" s="16"/>
      <c r="G41" s="16"/>
      <c r="H41" s="17"/>
      <c r="I41" s="17"/>
      <c r="J41" s="17"/>
      <c r="K41" s="17"/>
    </row>
    <row r="42" spans="1:11" x14ac:dyDescent="0.2">
      <c r="A42" s="24" t="s">
        <v>33</v>
      </c>
      <c r="B42" s="25">
        <f t="shared" ref="B42:G42" si="13">B38+B41</f>
        <v>0</v>
      </c>
      <c r="C42" s="25">
        <f t="shared" si="13"/>
        <v>0</v>
      </c>
      <c r="D42" s="25">
        <f t="shared" si="13"/>
        <v>0</v>
      </c>
      <c r="E42" s="25">
        <f t="shared" si="13"/>
        <v>0</v>
      </c>
      <c r="F42" s="25">
        <f t="shared" si="13"/>
        <v>0</v>
      </c>
      <c r="G42" s="25">
        <f t="shared" si="13"/>
        <v>0</v>
      </c>
      <c r="H42" s="15"/>
      <c r="I42" s="15"/>
      <c r="J42" s="15"/>
      <c r="K42" s="15"/>
    </row>
    <row r="43" spans="1:11" x14ac:dyDescent="0.2">
      <c r="B43" s="22"/>
      <c r="C43" s="22"/>
      <c r="D43" s="22"/>
      <c r="E43" s="16"/>
      <c r="F43" s="16"/>
      <c r="G43" s="16"/>
      <c r="H43" s="15"/>
      <c r="I43" s="15"/>
      <c r="J43" s="15"/>
      <c r="K43" s="15"/>
    </row>
    <row r="44" spans="1:11" x14ac:dyDescent="0.2">
      <c r="A44" s="7" t="s">
        <v>34</v>
      </c>
      <c r="B44" s="22"/>
      <c r="C44" s="22"/>
      <c r="D44" s="22"/>
      <c r="E44" s="16"/>
      <c r="F44" s="16"/>
      <c r="G44" s="16"/>
      <c r="H44" s="15"/>
      <c r="I44" s="15"/>
      <c r="J44" s="15"/>
      <c r="K44" s="15"/>
    </row>
    <row r="45" spans="1:11" x14ac:dyDescent="0.2">
      <c r="A45" s="7" t="s">
        <v>35</v>
      </c>
      <c r="B45" s="22"/>
      <c r="C45" s="22"/>
      <c r="D45" s="22"/>
      <c r="E45" s="16"/>
      <c r="F45" s="16"/>
      <c r="G45" s="16"/>
      <c r="H45" s="15"/>
      <c r="I45" s="15"/>
      <c r="J45" s="15"/>
      <c r="K45" s="15"/>
    </row>
    <row r="46" spans="1:11" x14ac:dyDescent="0.2">
      <c r="A46" s="24" t="s">
        <v>36</v>
      </c>
      <c r="B46" s="25">
        <f t="shared" ref="B46:G46" si="14">B42+SUM(B44:B45)</f>
        <v>0</v>
      </c>
      <c r="C46" s="25">
        <f t="shared" si="14"/>
        <v>0</v>
      </c>
      <c r="D46" s="25">
        <f t="shared" si="14"/>
        <v>0</v>
      </c>
      <c r="E46" s="25">
        <f t="shared" si="14"/>
        <v>0</v>
      </c>
      <c r="F46" s="25">
        <f t="shared" si="14"/>
        <v>0</v>
      </c>
      <c r="G46" s="25">
        <f t="shared" si="14"/>
        <v>0</v>
      </c>
      <c r="H46" s="15"/>
      <c r="I46" s="15"/>
      <c r="J46" s="15"/>
      <c r="K46" s="15"/>
    </row>
    <row r="47" spans="1:11" x14ac:dyDescent="0.2">
      <c r="B47" s="22"/>
      <c r="C47" s="22"/>
      <c r="D47" s="22"/>
      <c r="E47" s="16"/>
      <c r="F47" s="16"/>
      <c r="G47" s="16"/>
      <c r="H47" s="15"/>
      <c r="I47" s="15"/>
      <c r="J47" s="15"/>
      <c r="K47" s="15"/>
    </row>
    <row r="48" spans="1:11" x14ac:dyDescent="0.2">
      <c r="A48" s="7" t="s">
        <v>37</v>
      </c>
      <c r="B48" s="22"/>
      <c r="C48" s="22"/>
      <c r="D48" s="22"/>
      <c r="E48" s="16"/>
      <c r="F48" s="16"/>
      <c r="G48" s="16"/>
      <c r="H48" s="15"/>
      <c r="I48" s="15"/>
      <c r="J48" s="15"/>
      <c r="K48" s="15"/>
    </row>
    <row r="49" spans="1:11" x14ac:dyDescent="0.2">
      <c r="A49" s="7" t="s">
        <v>38</v>
      </c>
      <c r="B49" s="22"/>
      <c r="C49" s="22"/>
      <c r="D49" s="22"/>
      <c r="E49" s="16"/>
      <c r="F49" s="16"/>
      <c r="G49" s="16"/>
      <c r="H49" s="15"/>
      <c r="I49" s="15"/>
      <c r="J49" s="15"/>
      <c r="K49" s="15"/>
    </row>
    <row r="50" spans="1:11" x14ac:dyDescent="0.2">
      <c r="A50" s="1" t="s">
        <v>39</v>
      </c>
      <c r="B50" s="2">
        <f t="shared" ref="B50:G50" si="15">B46+SUM(B48:B49)</f>
        <v>0</v>
      </c>
      <c r="C50" s="2">
        <f t="shared" si="15"/>
        <v>0</v>
      </c>
      <c r="D50" s="2">
        <f t="shared" si="15"/>
        <v>0</v>
      </c>
      <c r="E50" s="2">
        <f t="shared" si="15"/>
        <v>0</v>
      </c>
      <c r="F50" s="2">
        <f t="shared" si="15"/>
        <v>0</v>
      </c>
      <c r="G50" s="2">
        <f t="shared" si="15"/>
        <v>0</v>
      </c>
      <c r="H50" s="15"/>
      <c r="I50" s="15"/>
      <c r="J50" s="15"/>
      <c r="K50" s="15"/>
    </row>
    <row r="51" spans="1:11" x14ac:dyDescent="0.2">
      <c r="B51" s="15"/>
      <c r="C51" s="15"/>
      <c r="D51" s="15"/>
      <c r="E51" s="15"/>
      <c r="F51" s="15"/>
      <c r="G51" s="15"/>
      <c r="H51" s="15"/>
      <c r="I51" s="15"/>
      <c r="J51" s="15"/>
      <c r="K51" s="15"/>
    </row>
    <row r="52" spans="1:11" x14ac:dyDescent="0.2">
      <c r="B52" s="15"/>
      <c r="C52" s="15"/>
      <c r="D52" s="15"/>
      <c r="E52" s="15"/>
      <c r="F52" s="15"/>
      <c r="G52" s="15"/>
      <c r="H52" s="15"/>
      <c r="I52" s="15"/>
      <c r="J52" s="15"/>
      <c r="K52" s="15"/>
    </row>
    <row r="53" spans="1:11" x14ac:dyDescent="0.2">
      <c r="B53" s="15"/>
      <c r="C53" s="15"/>
      <c r="D53" s="15"/>
      <c r="E53" s="15"/>
      <c r="F53" s="15"/>
      <c r="G53" s="15"/>
      <c r="H53" s="15"/>
      <c r="I53" s="15"/>
      <c r="J53" s="15"/>
      <c r="K53" s="15"/>
    </row>
    <row r="54" spans="1:11" x14ac:dyDescent="0.2">
      <c r="B54" s="15"/>
      <c r="C54" s="15"/>
      <c r="D54" s="15"/>
      <c r="E54" s="15"/>
      <c r="F54" s="15"/>
      <c r="G54" s="15"/>
      <c r="H54" s="15"/>
      <c r="I54" s="15"/>
      <c r="J54" s="15"/>
      <c r="K54" s="15"/>
    </row>
    <row r="55" spans="1:11" x14ac:dyDescent="0.2">
      <c r="B55" s="15"/>
      <c r="C55" s="15"/>
      <c r="D55" s="15"/>
      <c r="E55" s="15"/>
      <c r="F55" s="15"/>
      <c r="G55" s="15"/>
      <c r="H55" s="15"/>
      <c r="I55" s="15"/>
      <c r="J55" s="15"/>
      <c r="K55" s="15"/>
    </row>
    <row r="56" spans="1:11" x14ac:dyDescent="0.2">
      <c r="B56" s="15"/>
      <c r="C56" s="15"/>
      <c r="D56" s="15"/>
      <c r="E56" s="15"/>
      <c r="F56" s="15"/>
      <c r="G56" s="15"/>
      <c r="H56" s="15"/>
      <c r="I56" s="15"/>
      <c r="J56" s="15"/>
      <c r="K56" s="15"/>
    </row>
    <row r="57" spans="1:11" x14ac:dyDescent="0.2">
      <c r="B57" s="15"/>
      <c r="C57" s="15"/>
      <c r="D57" s="15"/>
      <c r="E57" s="15"/>
      <c r="F57" s="15"/>
      <c r="G57" s="15"/>
      <c r="H57" s="15"/>
      <c r="I57" s="15"/>
      <c r="J57" s="15"/>
      <c r="K57" s="15"/>
    </row>
    <row r="58" spans="1:11" x14ac:dyDescent="0.2">
      <c r="B58" s="15"/>
      <c r="C58" s="15"/>
      <c r="D58" s="15"/>
      <c r="E58" s="15"/>
      <c r="F58" s="15"/>
      <c r="G58" s="15"/>
      <c r="H58" s="15"/>
      <c r="I58" s="15"/>
      <c r="J58" s="15"/>
      <c r="K58" s="15"/>
    </row>
    <row r="59" spans="1:11" x14ac:dyDescent="0.2">
      <c r="B59" s="15"/>
      <c r="C59" s="15"/>
      <c r="D59" s="15"/>
      <c r="E59" s="15"/>
      <c r="F59" s="15"/>
      <c r="G59" s="15"/>
      <c r="H59" s="15"/>
      <c r="I59" s="15"/>
      <c r="J59" s="15"/>
      <c r="K59" s="1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7219F-432D-463E-8A3D-D8EDCD312A14}">
  <dimension ref="A1:K47"/>
  <sheetViews>
    <sheetView showGridLines="0" zoomScale="115" zoomScaleNormal="115" workbookViewId="0">
      <selection activeCell="F8" sqref="F8"/>
    </sheetView>
  </sheetViews>
  <sheetFormatPr defaultColWidth="9.140625" defaultRowHeight="11.25" x14ac:dyDescent="0.2"/>
  <cols>
    <col min="1" max="1" width="38.5703125" style="7" customWidth="1"/>
    <col min="2" max="2" width="17.140625" style="9" customWidth="1"/>
    <col min="3" max="6" width="10.7109375" style="9" customWidth="1"/>
    <col min="7" max="7" width="32.7109375" style="7" customWidth="1"/>
    <col min="8" max="11" width="10.7109375" style="9" customWidth="1"/>
    <col min="12" max="16384" width="9.140625" style="7"/>
  </cols>
  <sheetData>
    <row r="1" spans="1:11" s="6" customFormat="1" ht="12.75" x14ac:dyDescent="0.2">
      <c r="A1" s="3"/>
      <c r="B1" s="4"/>
      <c r="C1" s="4"/>
      <c r="D1" s="4"/>
      <c r="E1" s="4"/>
      <c r="F1" s="4"/>
      <c r="G1" s="3"/>
      <c r="H1" s="4"/>
      <c r="I1" s="4"/>
      <c r="J1" s="4"/>
      <c r="K1" s="4"/>
    </row>
    <row r="2" spans="1:11" s="6" customFormat="1" ht="12.75" x14ac:dyDescent="0.2">
      <c r="A2" s="3"/>
      <c r="B2" s="4"/>
      <c r="C2" s="4"/>
      <c r="D2" s="4"/>
      <c r="E2" s="4"/>
      <c r="F2" s="4"/>
      <c r="G2" s="3"/>
      <c r="H2" s="4"/>
      <c r="I2" s="4"/>
      <c r="J2" s="4"/>
      <c r="K2" s="4"/>
    </row>
    <row r="3" spans="1:11" x14ac:dyDescent="0.2">
      <c r="B3" s="8"/>
      <c r="C3" s="8"/>
      <c r="D3" s="8"/>
      <c r="E3" s="8"/>
      <c r="F3" s="8"/>
      <c r="H3" s="8"/>
      <c r="I3" s="8"/>
      <c r="J3" s="8"/>
      <c r="K3" s="8"/>
    </row>
    <row r="4" spans="1:11" ht="12" thickBot="1" x14ac:dyDescent="0.25"/>
    <row r="5" spans="1:11" x14ac:dyDescent="0.2">
      <c r="A5" s="10" t="s">
        <v>46</v>
      </c>
      <c r="B5" s="11"/>
      <c r="C5" s="11"/>
      <c r="D5" s="11"/>
      <c r="E5" s="12"/>
      <c r="F5" s="12"/>
      <c r="G5" s="18"/>
      <c r="K5" s="19"/>
    </row>
    <row r="6" spans="1:11" x14ac:dyDescent="0.2">
      <c r="A6" s="18"/>
      <c r="E6" s="19"/>
      <c r="F6" s="19"/>
      <c r="G6" s="18"/>
      <c r="K6" s="19"/>
    </row>
    <row r="7" spans="1:11" x14ac:dyDescent="0.2">
      <c r="A7" s="13" t="s">
        <v>1</v>
      </c>
      <c r="B7" s="14">
        <v>44196</v>
      </c>
      <c r="C7" s="14">
        <v>44561</v>
      </c>
      <c r="D7" s="14">
        <v>44926</v>
      </c>
      <c r="E7" s="14">
        <v>45291</v>
      </c>
      <c r="F7" s="14">
        <v>45657</v>
      </c>
      <c r="G7" s="18"/>
      <c r="K7" s="19"/>
    </row>
    <row r="8" spans="1:11" x14ac:dyDescent="0.2">
      <c r="A8" s="18"/>
      <c r="B8" s="20"/>
      <c r="C8" s="20"/>
      <c r="D8" s="20"/>
      <c r="E8" s="19"/>
      <c r="F8" s="19"/>
      <c r="G8" s="18"/>
      <c r="K8" s="19"/>
    </row>
    <row r="9" spans="1:11" x14ac:dyDescent="0.2">
      <c r="A9" s="7" t="s">
        <v>47</v>
      </c>
      <c r="B9" s="21"/>
      <c r="C9" s="21"/>
      <c r="D9" s="21"/>
      <c r="E9" s="7"/>
      <c r="F9" s="7"/>
      <c r="G9" s="18"/>
      <c r="H9" s="20"/>
      <c r="I9" s="20"/>
      <c r="J9" s="20"/>
      <c r="K9" s="19"/>
    </row>
    <row r="10" spans="1:11" x14ac:dyDescent="0.2">
      <c r="A10" s="7" t="s">
        <v>48</v>
      </c>
      <c r="B10" s="22"/>
      <c r="C10" s="22"/>
      <c r="D10" s="22"/>
    </row>
    <row r="11" spans="1:11" x14ac:dyDescent="0.2">
      <c r="A11" s="7" t="s">
        <v>49</v>
      </c>
      <c r="B11" s="22"/>
      <c r="C11" s="22"/>
      <c r="D11" s="22"/>
      <c r="E11" s="16"/>
      <c r="F11" s="16"/>
      <c r="H11" s="16"/>
      <c r="I11" s="16"/>
      <c r="J11" s="16"/>
      <c r="K11" s="16"/>
    </row>
    <row r="12" spans="1:11" x14ac:dyDescent="0.2">
      <c r="B12" s="22"/>
      <c r="C12" s="22"/>
      <c r="D12" s="22"/>
      <c r="E12" s="16"/>
      <c r="F12" s="16"/>
      <c r="H12" s="16"/>
      <c r="I12" s="16"/>
      <c r="J12" s="16"/>
      <c r="K12" s="16"/>
    </row>
    <row r="13" spans="1:11" x14ac:dyDescent="0.2">
      <c r="A13" s="7" t="s">
        <v>50</v>
      </c>
      <c r="B13" s="22"/>
      <c r="C13" s="22"/>
      <c r="D13" s="22"/>
      <c r="E13" s="17"/>
      <c r="F13" s="17"/>
      <c r="G13" s="18"/>
      <c r="H13" s="17"/>
      <c r="I13" s="17"/>
      <c r="J13" s="17"/>
      <c r="K13" s="17"/>
    </row>
    <row r="14" spans="1:11" x14ac:dyDescent="0.2">
      <c r="A14" s="7" t="s">
        <v>51</v>
      </c>
      <c r="B14" s="22"/>
      <c r="C14" s="22"/>
      <c r="D14" s="22"/>
      <c r="E14" s="16"/>
      <c r="F14" s="16"/>
      <c r="H14" s="16"/>
      <c r="I14" s="16"/>
      <c r="J14" s="16"/>
      <c r="K14" s="16"/>
    </row>
    <row r="15" spans="1:11" x14ac:dyDescent="0.2">
      <c r="B15" s="22"/>
      <c r="C15" s="22"/>
      <c r="D15" s="22"/>
      <c r="E15" s="16"/>
      <c r="F15" s="16"/>
      <c r="H15" s="16"/>
      <c r="I15" s="16"/>
      <c r="J15" s="16"/>
      <c r="K15" s="16"/>
    </row>
    <row r="16" spans="1:11" ht="10.5" customHeight="1" x14ac:dyDescent="0.2">
      <c r="A16" s="7" t="s">
        <v>52</v>
      </c>
      <c r="B16" s="22"/>
      <c r="C16" s="22"/>
      <c r="D16" s="22"/>
      <c r="E16" s="16"/>
      <c r="F16" s="16"/>
      <c r="H16" s="16"/>
      <c r="I16" s="16"/>
      <c r="J16" s="16"/>
      <c r="K16" s="16"/>
    </row>
    <row r="17" spans="1:11" x14ac:dyDescent="0.2">
      <c r="A17" s="7" t="s">
        <v>53</v>
      </c>
      <c r="B17" s="22"/>
      <c r="C17" s="22"/>
      <c r="D17" s="22"/>
      <c r="E17" s="16"/>
      <c r="F17" s="16"/>
      <c r="G17" s="18"/>
      <c r="H17" s="17"/>
      <c r="I17" s="17"/>
      <c r="J17" s="17"/>
      <c r="K17" s="17"/>
    </row>
    <row r="18" spans="1:11" x14ac:dyDescent="0.2">
      <c r="A18" s="7" t="s">
        <v>54</v>
      </c>
      <c r="B18" s="22"/>
      <c r="C18" s="22"/>
      <c r="D18" s="22"/>
      <c r="E18" s="16"/>
      <c r="F18" s="16"/>
      <c r="G18" s="18"/>
      <c r="H18" s="17"/>
      <c r="I18" s="17"/>
      <c r="J18" s="17"/>
      <c r="K18" s="17"/>
    </row>
    <row r="19" spans="1:11" x14ac:dyDescent="0.2">
      <c r="A19" s="7" t="s">
        <v>55</v>
      </c>
      <c r="B19" s="22"/>
      <c r="C19" s="22"/>
      <c r="D19" s="22"/>
      <c r="E19" s="16"/>
      <c r="F19" s="16"/>
      <c r="H19" s="16"/>
      <c r="I19" s="16"/>
      <c r="J19" s="16"/>
      <c r="K19" s="16"/>
    </row>
    <row r="20" spans="1:11" x14ac:dyDescent="0.2">
      <c r="B20" s="22"/>
      <c r="C20" s="22"/>
      <c r="D20" s="22"/>
      <c r="E20" s="16"/>
      <c r="F20" s="16"/>
      <c r="H20" s="16"/>
      <c r="I20" s="16"/>
      <c r="J20" s="16"/>
      <c r="K20" s="16"/>
    </row>
    <row r="21" spans="1:11" x14ac:dyDescent="0.2">
      <c r="A21" s="7" t="s">
        <v>56</v>
      </c>
      <c r="B21" s="22"/>
      <c r="C21" s="22"/>
      <c r="D21" s="22"/>
      <c r="E21" s="17"/>
      <c r="F21" s="17"/>
      <c r="H21" s="16"/>
      <c r="I21" s="16"/>
      <c r="J21" s="16"/>
      <c r="K21" s="16"/>
    </row>
    <row r="22" spans="1:11" x14ac:dyDescent="0.2">
      <c r="B22" s="22"/>
      <c r="C22" s="22"/>
      <c r="D22" s="22"/>
      <c r="E22" s="16"/>
      <c r="F22" s="16"/>
      <c r="H22" s="16"/>
      <c r="I22" s="16"/>
      <c r="J22" s="16"/>
      <c r="K22" s="16"/>
    </row>
    <row r="23" spans="1:11" x14ac:dyDescent="0.2">
      <c r="A23" s="1" t="s">
        <v>57</v>
      </c>
      <c r="B23" s="2">
        <f>SUM(B9:B22)</f>
        <v>0</v>
      </c>
      <c r="C23" s="2">
        <f>SUM(C9:C22)</f>
        <v>0</v>
      </c>
      <c r="D23" s="2">
        <f>SUM(D9:D22)</f>
        <v>0</v>
      </c>
      <c r="E23" s="2">
        <f>SUM(E9:E22)</f>
        <v>0</v>
      </c>
      <c r="F23" s="2">
        <f>SUM(F9:F22)</f>
        <v>0</v>
      </c>
      <c r="H23" s="16"/>
      <c r="I23" s="16"/>
      <c r="J23" s="16"/>
      <c r="K23" s="16"/>
    </row>
    <row r="24" spans="1:11" x14ac:dyDescent="0.2">
      <c r="B24" s="22"/>
      <c r="C24" s="22"/>
      <c r="D24" s="22"/>
      <c r="E24" s="16"/>
      <c r="F24" s="16"/>
      <c r="H24" s="16"/>
      <c r="I24" s="16"/>
      <c r="J24" s="16"/>
      <c r="K24" s="16"/>
    </row>
    <row r="25" spans="1:11" x14ac:dyDescent="0.2">
      <c r="A25" s="7" t="s">
        <v>58</v>
      </c>
      <c r="B25" s="22"/>
      <c r="C25" s="22"/>
      <c r="D25" s="22"/>
      <c r="E25" s="16"/>
      <c r="F25" s="16"/>
      <c r="H25" s="16"/>
      <c r="I25" s="16"/>
      <c r="J25" s="16"/>
      <c r="K25" s="16"/>
    </row>
    <row r="26" spans="1:11" x14ac:dyDescent="0.2">
      <c r="B26" s="23"/>
      <c r="C26" s="23"/>
      <c r="D26" s="23"/>
      <c r="E26" s="17"/>
      <c r="F26" s="17"/>
      <c r="H26" s="16"/>
      <c r="I26" s="16"/>
      <c r="J26" s="16"/>
      <c r="K26" s="16"/>
    </row>
    <row r="27" spans="1:11" x14ac:dyDescent="0.2">
      <c r="A27" s="7" t="s">
        <v>59</v>
      </c>
      <c r="B27" s="22"/>
      <c r="C27" s="22"/>
      <c r="D27" s="22"/>
      <c r="E27" s="16"/>
      <c r="F27" s="16"/>
      <c r="H27" s="16"/>
      <c r="I27" s="16"/>
      <c r="J27" s="16"/>
      <c r="K27" s="16"/>
    </row>
    <row r="28" spans="1:11" x14ac:dyDescent="0.2">
      <c r="B28" s="22"/>
      <c r="C28" s="22"/>
      <c r="D28" s="22"/>
      <c r="E28" s="16"/>
      <c r="F28" s="16"/>
      <c r="H28" s="16"/>
      <c r="I28" s="16"/>
      <c r="J28" s="16"/>
      <c r="K28" s="16"/>
    </row>
    <row r="29" spans="1:11" x14ac:dyDescent="0.2">
      <c r="A29" s="7" t="s">
        <v>60</v>
      </c>
      <c r="B29" s="22"/>
      <c r="C29" s="22"/>
      <c r="D29" s="22"/>
      <c r="E29" s="16"/>
      <c r="F29" s="16"/>
      <c r="G29" s="18"/>
      <c r="H29" s="17"/>
      <c r="I29" s="17"/>
      <c r="J29" s="17"/>
      <c r="K29" s="17"/>
    </row>
    <row r="30" spans="1:11" x14ac:dyDescent="0.2">
      <c r="A30" s="7" t="s">
        <v>61</v>
      </c>
      <c r="B30" s="22"/>
      <c r="C30" s="22"/>
      <c r="D30" s="22"/>
      <c r="E30" s="16"/>
      <c r="F30" s="16"/>
      <c r="H30" s="16"/>
      <c r="I30" s="16"/>
      <c r="J30" s="16"/>
      <c r="K30" s="16"/>
    </row>
    <row r="31" spans="1:11" x14ac:dyDescent="0.2">
      <c r="A31" s="7" t="s">
        <v>62</v>
      </c>
      <c r="B31" s="22"/>
      <c r="C31" s="22"/>
      <c r="D31" s="22"/>
      <c r="E31" s="16"/>
      <c r="F31" s="16"/>
      <c r="H31" s="15"/>
      <c r="I31" s="15"/>
      <c r="J31" s="15"/>
      <c r="K31" s="15"/>
    </row>
    <row r="32" spans="1:11" x14ac:dyDescent="0.2">
      <c r="A32" s="7" t="s">
        <v>63</v>
      </c>
      <c r="B32" s="22"/>
      <c r="C32" s="22"/>
      <c r="D32" s="22"/>
      <c r="E32" s="16"/>
      <c r="F32" s="16"/>
      <c r="H32" s="15"/>
      <c r="I32" s="15"/>
      <c r="J32" s="15"/>
      <c r="K32" s="15"/>
    </row>
    <row r="33" spans="1:11" x14ac:dyDescent="0.2">
      <c r="B33" s="22"/>
      <c r="C33" s="22"/>
      <c r="D33" s="22"/>
      <c r="E33" s="16"/>
      <c r="F33" s="16"/>
      <c r="H33" s="15"/>
      <c r="I33" s="15"/>
      <c r="J33" s="15"/>
      <c r="K33" s="15"/>
    </row>
    <row r="34" spans="1:11" x14ac:dyDescent="0.2">
      <c r="A34" s="7" t="s">
        <v>64</v>
      </c>
      <c r="B34" s="22"/>
      <c r="C34" s="22"/>
      <c r="D34" s="22"/>
      <c r="E34" s="16"/>
      <c r="F34" s="16"/>
      <c r="H34" s="15"/>
      <c r="I34" s="15"/>
      <c r="J34" s="15"/>
      <c r="K34" s="15"/>
    </row>
    <row r="35" spans="1:11" x14ac:dyDescent="0.2">
      <c r="A35" s="7" t="s">
        <v>53</v>
      </c>
      <c r="B35" s="22"/>
      <c r="C35" s="22"/>
      <c r="D35" s="22"/>
      <c r="E35" s="16"/>
      <c r="F35" s="16"/>
      <c r="H35" s="15"/>
      <c r="I35" s="15"/>
      <c r="J35" s="15"/>
      <c r="K35" s="15"/>
    </row>
    <row r="36" spans="1:11" x14ac:dyDescent="0.2">
      <c r="A36" s="7" t="s">
        <v>65</v>
      </c>
      <c r="B36" s="22"/>
      <c r="C36" s="22"/>
      <c r="D36" s="22"/>
      <c r="E36" s="16"/>
      <c r="F36" s="16"/>
      <c r="H36" s="15"/>
      <c r="I36" s="15"/>
      <c r="J36" s="15"/>
      <c r="K36" s="15"/>
    </row>
    <row r="37" spans="1:11" x14ac:dyDescent="0.2">
      <c r="B37" s="22"/>
      <c r="C37" s="22"/>
      <c r="D37" s="22"/>
      <c r="E37" s="16"/>
      <c r="F37" s="16"/>
      <c r="H37" s="15"/>
      <c r="I37" s="15"/>
      <c r="J37" s="15"/>
      <c r="K37" s="15"/>
    </row>
    <row r="38" spans="1:11" x14ac:dyDescent="0.2">
      <c r="A38" s="1" t="s">
        <v>66</v>
      </c>
      <c r="B38" s="2">
        <f>SUM(B25:B37)</f>
        <v>0</v>
      </c>
      <c r="C38" s="2">
        <f>SUM(C25:C37)</f>
        <v>0</v>
      </c>
      <c r="D38" s="2">
        <f>SUM(D25:D37)</f>
        <v>0</v>
      </c>
      <c r="E38" s="2">
        <f>SUM(E25:E37)</f>
        <v>0</v>
      </c>
      <c r="F38" s="2">
        <f>SUM(F25:F37)</f>
        <v>0</v>
      </c>
      <c r="H38" s="15"/>
      <c r="I38" s="15"/>
      <c r="J38" s="15"/>
      <c r="K38" s="15"/>
    </row>
    <row r="39" spans="1:11" x14ac:dyDescent="0.2">
      <c r="B39" s="15"/>
      <c r="C39" s="15"/>
      <c r="D39" s="15"/>
      <c r="E39" s="15"/>
      <c r="F39" s="15"/>
      <c r="H39" s="15"/>
      <c r="I39" s="15"/>
      <c r="J39" s="15"/>
      <c r="K39" s="15"/>
    </row>
    <row r="40" spans="1:11" x14ac:dyDescent="0.2">
      <c r="A40" s="29" t="s">
        <v>67</v>
      </c>
      <c r="B40" s="30">
        <f>B23-B38</f>
        <v>0</v>
      </c>
      <c r="C40" s="30">
        <f>C23-C38</f>
        <v>0</v>
      </c>
      <c r="D40" s="30">
        <f>D23-D38</f>
        <v>0</v>
      </c>
      <c r="E40" s="30">
        <f>E23-E38</f>
        <v>0</v>
      </c>
      <c r="F40" s="30">
        <f>F23-F38</f>
        <v>0</v>
      </c>
      <c r="H40" s="15"/>
      <c r="I40" s="15"/>
      <c r="J40" s="15"/>
      <c r="K40" s="15"/>
    </row>
    <row r="41" spans="1:11" x14ac:dyDescent="0.2">
      <c r="B41" s="15"/>
      <c r="C41" s="15"/>
      <c r="D41" s="15"/>
      <c r="E41" s="15"/>
      <c r="F41" s="15"/>
      <c r="H41" s="15"/>
      <c r="I41" s="15"/>
      <c r="J41" s="15"/>
      <c r="K41" s="15"/>
    </row>
    <row r="42" spans="1:11" x14ac:dyDescent="0.2">
      <c r="B42" s="15"/>
      <c r="C42" s="15"/>
      <c r="D42" s="15"/>
      <c r="E42" s="15"/>
      <c r="F42" s="15"/>
      <c r="H42" s="15"/>
      <c r="I42" s="15"/>
      <c r="J42" s="15"/>
      <c r="K42" s="15"/>
    </row>
    <row r="43" spans="1:11" x14ac:dyDescent="0.2">
      <c r="B43" s="15"/>
      <c r="C43" s="15"/>
      <c r="D43" s="15"/>
      <c r="E43" s="15"/>
      <c r="F43" s="15"/>
      <c r="H43" s="15"/>
      <c r="I43" s="15"/>
      <c r="J43" s="15"/>
      <c r="K43" s="15"/>
    </row>
    <row r="44" spans="1:11" x14ac:dyDescent="0.2">
      <c r="B44" s="15"/>
      <c r="C44" s="15"/>
      <c r="D44" s="15"/>
      <c r="E44" s="15"/>
      <c r="F44" s="15"/>
      <c r="H44" s="15"/>
      <c r="I44" s="15"/>
      <c r="J44" s="15"/>
      <c r="K44" s="15"/>
    </row>
    <row r="45" spans="1:11" x14ac:dyDescent="0.2">
      <c r="B45" s="15"/>
      <c r="C45" s="15"/>
      <c r="D45" s="15"/>
      <c r="E45" s="15"/>
      <c r="F45" s="15"/>
      <c r="H45" s="15"/>
      <c r="I45" s="15"/>
      <c r="J45" s="15"/>
      <c r="K45" s="15"/>
    </row>
    <row r="46" spans="1:11" x14ac:dyDescent="0.2">
      <c r="B46" s="15"/>
      <c r="C46" s="15"/>
      <c r="D46" s="15"/>
      <c r="E46" s="15"/>
      <c r="F46" s="15"/>
      <c r="H46" s="15"/>
      <c r="I46" s="15"/>
      <c r="J46" s="15"/>
      <c r="K46" s="15"/>
    </row>
    <row r="47" spans="1:11" x14ac:dyDescent="0.2">
      <c r="B47" s="15"/>
      <c r="C47" s="15"/>
      <c r="D47" s="15"/>
      <c r="E47" s="15"/>
      <c r="F47" s="15"/>
      <c r="H47" s="15"/>
      <c r="I47" s="15"/>
      <c r="J47" s="15"/>
      <c r="K47" s="1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6BDEA-113B-4B82-844F-A638131337FD}">
  <dimension ref="A1:R45"/>
  <sheetViews>
    <sheetView showGridLines="0" zoomScale="115" zoomScaleNormal="115" workbookViewId="0">
      <selection activeCell="B51" sqref="B51"/>
    </sheetView>
  </sheetViews>
  <sheetFormatPr defaultColWidth="9.140625" defaultRowHeight="11.25" x14ac:dyDescent="0.2"/>
  <cols>
    <col min="1" max="1" width="3.7109375" style="7" customWidth="1"/>
    <col min="2" max="2" width="30.7109375" style="7" customWidth="1"/>
    <col min="3" max="6" width="6.7109375" style="7" customWidth="1"/>
    <col min="7" max="7" width="0.85546875" style="7" customWidth="1"/>
    <col min="8" max="11" width="8.7109375" style="7" customWidth="1"/>
    <col min="12" max="12" width="0.85546875" style="7" customWidth="1"/>
    <col min="13" max="16" width="6.7109375" style="7" customWidth="1"/>
    <col min="17" max="16384" width="9.140625" style="7"/>
  </cols>
  <sheetData>
    <row r="1" spans="1:18" s="6" customFormat="1" ht="12.75" x14ac:dyDescent="0.2">
      <c r="A1" s="3" t="str">
        <f>[3]Index!C3</f>
        <v>BEDRIJF</v>
      </c>
      <c r="B1" s="3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8" s="6" customFormat="1" ht="12.75" x14ac:dyDescent="0.2">
      <c r="A2" s="3" t="s">
        <v>68</v>
      </c>
      <c r="B2" s="3"/>
      <c r="C2" s="5"/>
      <c r="D2" s="5"/>
      <c r="E2" s="5"/>
      <c r="F2" s="5"/>
      <c r="G2" s="5"/>
      <c r="H2" s="5"/>
      <c r="I2" s="5"/>
      <c r="J2" s="5"/>
      <c r="K2" s="5"/>
      <c r="L2" s="5"/>
    </row>
    <row r="4" spans="1:18" ht="12" thickBot="1" x14ac:dyDescent="0.25"/>
    <row r="5" spans="1:18" ht="12.75" customHeight="1" x14ac:dyDescent="0.2">
      <c r="A5" s="34" t="s">
        <v>68</v>
      </c>
      <c r="B5" s="34"/>
      <c r="C5" s="77" t="s">
        <v>69</v>
      </c>
      <c r="D5" s="77"/>
      <c r="E5" s="77"/>
      <c r="F5" s="77"/>
      <c r="G5" s="35"/>
      <c r="H5" s="78" t="s">
        <v>7</v>
      </c>
      <c r="I5" s="77"/>
      <c r="J5" s="77"/>
      <c r="K5" s="77"/>
      <c r="L5" s="36"/>
      <c r="M5" s="78" t="s">
        <v>70</v>
      </c>
      <c r="N5" s="77"/>
      <c r="O5" s="77"/>
      <c r="P5" s="77"/>
      <c r="R5" s="18"/>
    </row>
    <row r="6" spans="1:18" s="9" customFormat="1" x14ac:dyDescent="0.2">
      <c r="A6" s="37" t="str">
        <f>'W&amp;V'!A7</f>
        <v>[Bedrijfsnaam]</v>
      </c>
      <c r="B6" s="19"/>
      <c r="C6" s="19"/>
      <c r="D6" s="19"/>
      <c r="E6" s="19"/>
      <c r="F6" s="19"/>
      <c r="G6" s="19"/>
      <c r="H6" s="38"/>
      <c r="I6" s="19"/>
      <c r="J6" s="19"/>
      <c r="K6" s="19"/>
      <c r="L6" s="19"/>
      <c r="M6" s="38"/>
      <c r="N6" s="19"/>
      <c r="O6" s="19"/>
      <c r="P6" s="19"/>
      <c r="R6" s="7"/>
    </row>
    <row r="7" spans="1:18" x14ac:dyDescent="0.2">
      <c r="A7" s="39" t="str">
        <f>[3]Index!C15</f>
        <v>(x € 1)</v>
      </c>
      <c r="B7" s="39"/>
      <c r="C7" s="40">
        <v>2021</v>
      </c>
      <c r="D7" s="40">
        <v>2022</v>
      </c>
      <c r="E7" s="40">
        <v>2023</v>
      </c>
      <c r="F7" s="40">
        <v>2024</v>
      </c>
      <c r="G7" s="40"/>
      <c r="H7" s="41">
        <v>2021</v>
      </c>
      <c r="I7" s="40">
        <v>2022</v>
      </c>
      <c r="J7" s="40">
        <v>2023</v>
      </c>
      <c r="K7" s="40">
        <v>2024</v>
      </c>
      <c r="L7" s="40"/>
      <c r="M7" s="41">
        <v>2021</v>
      </c>
      <c r="N7" s="40">
        <v>2022</v>
      </c>
      <c r="O7" s="40">
        <v>2023</v>
      </c>
      <c r="P7" s="40">
        <v>2024</v>
      </c>
    </row>
    <row r="8" spans="1:18" x14ac:dyDescent="0.2">
      <c r="A8" s="42" t="s">
        <v>71</v>
      </c>
      <c r="B8" s="43"/>
      <c r="C8" s="44"/>
      <c r="D8" s="44"/>
      <c r="E8" s="44"/>
      <c r="F8" s="44">
        <v>1</v>
      </c>
      <c r="G8" s="44"/>
      <c r="H8" s="45"/>
      <c r="I8" s="44"/>
      <c r="J8" s="46"/>
      <c r="K8" s="46"/>
      <c r="L8" s="46"/>
      <c r="M8" s="47">
        <f>IFERROR(H8/H$29,0)</f>
        <v>0</v>
      </c>
      <c r="N8" s="48">
        <f t="shared" ref="N8:P23" si="0">IFERROR(I8/I$29,0)</f>
        <v>0</v>
      </c>
      <c r="O8" s="48">
        <f t="shared" si="0"/>
        <v>0</v>
      </c>
      <c r="P8" s="48">
        <f t="shared" si="0"/>
        <v>0</v>
      </c>
      <c r="R8" s="18"/>
    </row>
    <row r="9" spans="1:18" x14ac:dyDescent="0.2">
      <c r="A9" s="42" t="s">
        <v>72</v>
      </c>
      <c r="B9" s="43"/>
      <c r="C9" s="44"/>
      <c r="D9" s="44"/>
      <c r="E9" s="44"/>
      <c r="F9" s="44">
        <v>2</v>
      </c>
      <c r="G9" s="44"/>
      <c r="H9" s="45"/>
      <c r="I9" s="44"/>
      <c r="J9" s="46"/>
      <c r="K9" s="46"/>
      <c r="L9" s="46"/>
      <c r="M9" s="47">
        <f t="shared" ref="M9:P24" si="1">IFERROR(H9/H$29,0)</f>
        <v>0</v>
      </c>
      <c r="N9" s="48">
        <f t="shared" si="0"/>
        <v>0</v>
      </c>
      <c r="O9" s="48">
        <f t="shared" si="0"/>
        <v>0</v>
      </c>
      <c r="P9" s="48">
        <f t="shared" si="0"/>
        <v>0</v>
      </c>
    </row>
    <row r="10" spans="1:18" x14ac:dyDescent="0.2">
      <c r="A10" s="42" t="s">
        <v>73</v>
      </c>
      <c r="B10" s="43"/>
      <c r="C10" s="44"/>
      <c r="D10" s="44"/>
      <c r="E10" s="44"/>
      <c r="F10" s="44">
        <v>3</v>
      </c>
      <c r="G10" s="44"/>
      <c r="H10" s="45"/>
      <c r="I10" s="44"/>
      <c r="J10" s="46"/>
      <c r="K10" s="46"/>
      <c r="L10" s="46"/>
      <c r="M10" s="47">
        <f t="shared" si="1"/>
        <v>0</v>
      </c>
      <c r="N10" s="48">
        <f t="shared" si="0"/>
        <v>0</v>
      </c>
      <c r="O10" s="48">
        <f t="shared" si="0"/>
        <v>0</v>
      </c>
      <c r="P10" s="48">
        <f>IFERROR(K10/K$29,0)</f>
        <v>0</v>
      </c>
    </row>
    <row r="11" spans="1:18" x14ac:dyDescent="0.2">
      <c r="A11" s="42" t="s">
        <v>74</v>
      </c>
      <c r="B11" s="43"/>
      <c r="C11" s="44"/>
      <c r="D11" s="44"/>
      <c r="E11" s="44"/>
      <c r="F11" s="44">
        <v>4</v>
      </c>
      <c r="G11" s="44"/>
      <c r="H11" s="45"/>
      <c r="I11" s="44"/>
      <c r="J11" s="46"/>
      <c r="K11" s="46"/>
      <c r="L11" s="46"/>
      <c r="M11" s="47">
        <f t="shared" si="1"/>
        <v>0</v>
      </c>
      <c r="N11" s="48">
        <f t="shared" si="0"/>
        <v>0</v>
      </c>
      <c r="O11" s="48">
        <f t="shared" si="0"/>
        <v>0</v>
      </c>
      <c r="P11" s="48">
        <f t="shared" si="0"/>
        <v>0</v>
      </c>
    </row>
    <row r="12" spans="1:18" x14ac:dyDescent="0.2">
      <c r="A12" s="42" t="s">
        <v>75</v>
      </c>
      <c r="B12" s="43"/>
      <c r="C12" s="44"/>
      <c r="D12" s="44"/>
      <c r="E12" s="44"/>
      <c r="F12" s="44">
        <v>5</v>
      </c>
      <c r="G12" s="44"/>
      <c r="H12" s="45"/>
      <c r="I12" s="44"/>
      <c r="J12" s="46"/>
      <c r="K12" s="46"/>
      <c r="L12" s="46"/>
      <c r="M12" s="47">
        <f t="shared" si="1"/>
        <v>0</v>
      </c>
      <c r="N12" s="48">
        <f t="shared" si="0"/>
        <v>0</v>
      </c>
      <c r="O12" s="48">
        <f t="shared" si="0"/>
        <v>0</v>
      </c>
      <c r="P12" s="48">
        <f t="shared" si="0"/>
        <v>0</v>
      </c>
    </row>
    <row r="13" spans="1:18" x14ac:dyDescent="0.2">
      <c r="A13" s="42" t="s">
        <v>76</v>
      </c>
      <c r="B13" s="43"/>
      <c r="C13" s="44"/>
      <c r="D13" s="44"/>
      <c r="E13" s="44"/>
      <c r="F13" s="44">
        <v>6</v>
      </c>
      <c r="G13" s="44"/>
      <c r="H13" s="45"/>
      <c r="I13" s="44"/>
      <c r="J13" s="46"/>
      <c r="K13" s="46"/>
      <c r="L13" s="46"/>
      <c r="M13" s="47">
        <f t="shared" si="1"/>
        <v>0</v>
      </c>
      <c r="N13" s="48">
        <f t="shared" si="0"/>
        <v>0</v>
      </c>
      <c r="O13" s="48">
        <f t="shared" si="0"/>
        <v>0</v>
      </c>
      <c r="P13" s="48">
        <f t="shared" si="0"/>
        <v>0</v>
      </c>
    </row>
    <row r="14" spans="1:18" x14ac:dyDescent="0.2">
      <c r="A14" s="42" t="s">
        <v>77</v>
      </c>
      <c r="B14" s="43"/>
      <c r="C14" s="44"/>
      <c r="D14" s="44"/>
      <c r="E14" s="44"/>
      <c r="F14" s="44">
        <v>7</v>
      </c>
      <c r="G14" s="44"/>
      <c r="H14" s="45"/>
      <c r="I14" s="44"/>
      <c r="J14" s="46"/>
      <c r="K14" s="46"/>
      <c r="L14" s="46"/>
      <c r="M14" s="47">
        <f t="shared" si="1"/>
        <v>0</v>
      </c>
      <c r="N14" s="48">
        <f t="shared" si="0"/>
        <v>0</v>
      </c>
      <c r="O14" s="48">
        <f t="shared" si="0"/>
        <v>0</v>
      </c>
      <c r="P14" s="48">
        <f t="shared" si="0"/>
        <v>0</v>
      </c>
    </row>
    <row r="15" spans="1:18" x14ac:dyDescent="0.2">
      <c r="A15" s="42" t="s">
        <v>78</v>
      </c>
      <c r="B15" s="43"/>
      <c r="C15" s="44"/>
      <c r="D15" s="44"/>
      <c r="E15" s="44"/>
      <c r="F15" s="44">
        <v>8</v>
      </c>
      <c r="G15" s="44"/>
      <c r="H15" s="45"/>
      <c r="I15" s="44"/>
      <c r="J15" s="46"/>
      <c r="K15" s="46"/>
      <c r="L15" s="46"/>
      <c r="M15" s="47">
        <f t="shared" si="1"/>
        <v>0</v>
      </c>
      <c r="N15" s="48">
        <f t="shared" si="0"/>
        <v>0</v>
      </c>
      <c r="O15" s="48">
        <f t="shared" si="0"/>
        <v>0</v>
      </c>
      <c r="P15" s="48">
        <f t="shared" si="0"/>
        <v>0</v>
      </c>
    </row>
    <row r="16" spans="1:18" x14ac:dyDescent="0.2">
      <c r="A16" s="42" t="s">
        <v>79</v>
      </c>
      <c r="B16" s="43"/>
      <c r="C16" s="44"/>
      <c r="D16" s="44"/>
      <c r="E16" s="44"/>
      <c r="F16" s="44">
        <v>9</v>
      </c>
      <c r="G16" s="44"/>
      <c r="H16" s="45"/>
      <c r="I16" s="44"/>
      <c r="J16" s="46"/>
      <c r="K16" s="46"/>
      <c r="L16" s="46"/>
      <c r="M16" s="47">
        <f t="shared" si="1"/>
        <v>0</v>
      </c>
      <c r="N16" s="48">
        <f t="shared" si="0"/>
        <v>0</v>
      </c>
      <c r="O16" s="48">
        <f t="shared" si="0"/>
        <v>0</v>
      </c>
      <c r="P16" s="48">
        <f t="shared" si="0"/>
        <v>0</v>
      </c>
    </row>
    <row r="17" spans="1:16" x14ac:dyDescent="0.2">
      <c r="A17" s="42" t="s">
        <v>80</v>
      </c>
      <c r="B17" s="43"/>
      <c r="C17" s="44"/>
      <c r="D17" s="44"/>
      <c r="E17" s="44"/>
      <c r="F17" s="44">
        <v>10</v>
      </c>
      <c r="G17" s="44"/>
      <c r="H17" s="45"/>
      <c r="I17" s="44"/>
      <c r="J17" s="46"/>
      <c r="K17" s="46"/>
      <c r="L17" s="46"/>
      <c r="M17" s="47">
        <f t="shared" si="1"/>
        <v>0</v>
      </c>
      <c r="N17" s="48">
        <f t="shared" si="0"/>
        <v>0</v>
      </c>
      <c r="O17" s="48">
        <f t="shared" si="0"/>
        <v>0</v>
      </c>
      <c r="P17" s="48">
        <f t="shared" si="0"/>
        <v>0</v>
      </c>
    </row>
    <row r="18" spans="1:16" x14ac:dyDescent="0.2">
      <c r="A18" s="42" t="s">
        <v>81</v>
      </c>
      <c r="B18" s="43"/>
      <c r="C18" s="44"/>
      <c r="D18" s="44"/>
      <c r="E18" s="44"/>
      <c r="F18" s="44"/>
      <c r="G18" s="44"/>
      <c r="H18" s="45"/>
      <c r="I18" s="44"/>
      <c r="J18" s="46"/>
      <c r="K18" s="46"/>
      <c r="L18" s="46"/>
      <c r="M18" s="47">
        <f t="shared" si="1"/>
        <v>0</v>
      </c>
      <c r="N18" s="48">
        <f t="shared" si="0"/>
        <v>0</v>
      </c>
      <c r="O18" s="48">
        <f t="shared" si="0"/>
        <v>0</v>
      </c>
      <c r="P18" s="48">
        <f t="shared" si="0"/>
        <v>0</v>
      </c>
    </row>
    <row r="19" spans="1:16" x14ac:dyDescent="0.2">
      <c r="A19" s="42" t="s">
        <v>82</v>
      </c>
      <c r="B19" s="43"/>
      <c r="C19" s="44"/>
      <c r="D19" s="44"/>
      <c r="E19" s="44"/>
      <c r="F19" s="44"/>
      <c r="G19" s="44"/>
      <c r="H19" s="45"/>
      <c r="I19" s="44"/>
      <c r="J19" s="46"/>
      <c r="K19" s="46"/>
      <c r="L19" s="46"/>
      <c r="M19" s="47">
        <f t="shared" si="1"/>
        <v>0</v>
      </c>
      <c r="N19" s="48">
        <f t="shared" si="0"/>
        <v>0</v>
      </c>
      <c r="O19" s="48">
        <f t="shared" si="0"/>
        <v>0</v>
      </c>
      <c r="P19" s="48">
        <f t="shared" si="0"/>
        <v>0</v>
      </c>
    </row>
    <row r="20" spans="1:16" x14ac:dyDescent="0.2">
      <c r="A20" s="42" t="s">
        <v>83</v>
      </c>
      <c r="B20" s="43"/>
      <c r="C20" s="44"/>
      <c r="D20" s="44"/>
      <c r="E20" s="44"/>
      <c r="F20" s="44"/>
      <c r="G20" s="44"/>
      <c r="H20" s="45"/>
      <c r="I20" s="44"/>
      <c r="J20" s="46"/>
      <c r="K20" s="46"/>
      <c r="L20" s="46"/>
      <c r="M20" s="47">
        <f t="shared" si="1"/>
        <v>0</v>
      </c>
      <c r="N20" s="48">
        <f t="shared" si="0"/>
        <v>0</v>
      </c>
      <c r="O20" s="48">
        <f t="shared" si="0"/>
        <v>0</v>
      </c>
      <c r="P20" s="48">
        <f t="shared" si="0"/>
        <v>0</v>
      </c>
    </row>
    <row r="21" spans="1:16" x14ac:dyDescent="0.2">
      <c r="A21" s="42" t="s">
        <v>84</v>
      </c>
      <c r="B21" s="43"/>
      <c r="C21" s="44"/>
      <c r="D21" s="44"/>
      <c r="E21" s="44"/>
      <c r="F21" s="44"/>
      <c r="G21" s="44"/>
      <c r="H21" s="45"/>
      <c r="I21" s="44"/>
      <c r="J21" s="46"/>
      <c r="K21" s="46"/>
      <c r="L21" s="46"/>
      <c r="M21" s="47">
        <f t="shared" si="1"/>
        <v>0</v>
      </c>
      <c r="N21" s="48">
        <f t="shared" si="0"/>
        <v>0</v>
      </c>
      <c r="O21" s="48">
        <f t="shared" si="0"/>
        <v>0</v>
      </c>
      <c r="P21" s="48">
        <f t="shared" si="0"/>
        <v>0</v>
      </c>
    </row>
    <row r="22" spans="1:16" x14ac:dyDescent="0.2">
      <c r="A22" s="42" t="s">
        <v>85</v>
      </c>
      <c r="B22" s="43"/>
      <c r="C22" s="44"/>
      <c r="D22" s="44"/>
      <c r="E22" s="44"/>
      <c r="F22" s="44"/>
      <c r="G22" s="44"/>
      <c r="H22" s="45"/>
      <c r="I22" s="44"/>
      <c r="J22" s="46"/>
      <c r="K22" s="46"/>
      <c r="L22" s="46"/>
      <c r="M22" s="47">
        <f t="shared" si="1"/>
        <v>0</v>
      </c>
      <c r="N22" s="48">
        <f t="shared" si="0"/>
        <v>0</v>
      </c>
      <c r="O22" s="48">
        <f t="shared" si="0"/>
        <v>0</v>
      </c>
      <c r="P22" s="48">
        <f t="shared" si="0"/>
        <v>0</v>
      </c>
    </row>
    <row r="23" spans="1:16" x14ac:dyDescent="0.2">
      <c r="A23" s="42" t="s">
        <v>86</v>
      </c>
      <c r="B23" s="43"/>
      <c r="C23" s="44"/>
      <c r="D23" s="44"/>
      <c r="E23" s="44"/>
      <c r="F23" s="44"/>
      <c r="G23" s="44"/>
      <c r="H23" s="45"/>
      <c r="I23" s="44"/>
      <c r="J23" s="46"/>
      <c r="K23" s="46"/>
      <c r="L23" s="46"/>
      <c r="M23" s="47">
        <f t="shared" si="1"/>
        <v>0</v>
      </c>
      <c r="N23" s="48">
        <f t="shared" si="0"/>
        <v>0</v>
      </c>
      <c r="O23" s="48">
        <f t="shared" si="0"/>
        <v>0</v>
      </c>
      <c r="P23" s="48">
        <f t="shared" si="0"/>
        <v>0</v>
      </c>
    </row>
    <row r="24" spans="1:16" x14ac:dyDescent="0.2">
      <c r="A24" s="42" t="s">
        <v>87</v>
      </c>
      <c r="B24" s="43"/>
      <c r="C24" s="44"/>
      <c r="D24" s="44"/>
      <c r="E24" s="44"/>
      <c r="F24" s="44"/>
      <c r="G24" s="44"/>
      <c r="H24" s="45"/>
      <c r="I24" s="44"/>
      <c r="J24" s="46"/>
      <c r="K24" s="46"/>
      <c r="L24" s="46"/>
      <c r="M24" s="47">
        <f t="shared" si="1"/>
        <v>0</v>
      </c>
      <c r="N24" s="48">
        <f t="shared" si="1"/>
        <v>0</v>
      </c>
      <c r="O24" s="48">
        <f t="shared" si="1"/>
        <v>0</v>
      </c>
      <c r="P24" s="48">
        <f t="shared" si="1"/>
        <v>0</v>
      </c>
    </row>
    <row r="25" spans="1:16" x14ac:dyDescent="0.2">
      <c r="A25" s="42" t="s">
        <v>88</v>
      </c>
      <c r="B25" s="43"/>
      <c r="C25" s="44"/>
      <c r="D25" s="44"/>
      <c r="E25" s="44"/>
      <c r="F25" s="44"/>
      <c r="G25" s="44"/>
      <c r="H25" s="45"/>
      <c r="I25" s="44"/>
      <c r="J25" s="46"/>
      <c r="K25" s="46"/>
      <c r="L25" s="46"/>
      <c r="M25" s="47">
        <f t="shared" ref="M25:P25" si="2">IFERROR(H25/H$29,0)</f>
        <v>0</v>
      </c>
      <c r="N25" s="48">
        <f t="shared" si="2"/>
        <v>0</v>
      </c>
      <c r="O25" s="48">
        <f t="shared" si="2"/>
        <v>0</v>
      </c>
      <c r="P25" s="48">
        <f t="shared" si="2"/>
        <v>0</v>
      </c>
    </row>
    <row r="26" spans="1:16" x14ac:dyDescent="0.2">
      <c r="A26" s="49" t="s">
        <v>89</v>
      </c>
      <c r="B26" s="50"/>
      <c r="C26" s="51"/>
      <c r="D26" s="51"/>
      <c r="E26" s="51"/>
      <c r="F26" s="51"/>
      <c r="G26" s="51"/>
      <c r="H26" s="52">
        <f>SUM(H8:H25)</f>
        <v>0</v>
      </c>
      <c r="I26" s="51">
        <f>SUM(I8:I25)</f>
        <v>0</v>
      </c>
      <c r="J26" s="51">
        <f>SUM(J8:J25)</f>
        <v>0</v>
      </c>
      <c r="K26" s="51">
        <f>SUM(K8:K25)</f>
        <v>0</v>
      </c>
      <c r="L26" s="51"/>
      <c r="M26" s="53">
        <f>IFERROR(H26/H$29,0)</f>
        <v>0</v>
      </c>
      <c r="N26" s="54">
        <f>IFERROR(I26/I$29,0)</f>
        <v>0</v>
      </c>
      <c r="O26" s="54">
        <f>IFERROR(J26/J$29,0)</f>
        <v>0</v>
      </c>
      <c r="P26" s="54">
        <f>IFERROR(K26/K$29,0)</f>
        <v>0</v>
      </c>
    </row>
    <row r="27" spans="1:16" x14ac:dyDescent="0.2">
      <c r="A27" s="55"/>
      <c r="B27" s="56"/>
      <c r="C27" s="57"/>
      <c r="D27" s="57"/>
      <c r="E27" s="57"/>
      <c r="F27" s="57"/>
      <c r="G27" s="57"/>
      <c r="H27" s="58"/>
      <c r="I27" s="57"/>
      <c r="J27" s="57"/>
      <c r="K27" s="57"/>
      <c r="L27" s="57"/>
      <c r="M27" s="59"/>
      <c r="N27" s="60"/>
      <c r="O27" s="60"/>
      <c r="P27" s="60"/>
    </row>
    <row r="28" spans="1:16" x14ac:dyDescent="0.2">
      <c r="A28" s="42" t="s">
        <v>90</v>
      </c>
      <c r="B28" s="43"/>
      <c r="C28" s="44"/>
      <c r="D28" s="44"/>
      <c r="E28" s="44"/>
      <c r="F28" s="44"/>
      <c r="G28" s="44"/>
      <c r="H28" s="45">
        <f>H29-H26</f>
        <v>0</v>
      </c>
      <c r="I28" s="44">
        <f>I29-I26</f>
        <v>0</v>
      </c>
      <c r="J28" s="44">
        <f>J29-J26</f>
        <v>0</v>
      </c>
      <c r="K28" s="44">
        <f>K29-K26</f>
        <v>0</v>
      </c>
      <c r="L28" s="44"/>
      <c r="M28" s="47">
        <f t="shared" ref="M28:P29" si="3">IFERROR(H28/H$29,0)</f>
        <v>0</v>
      </c>
      <c r="N28" s="48">
        <f t="shared" si="3"/>
        <v>0</v>
      </c>
      <c r="O28" s="48">
        <f t="shared" si="3"/>
        <v>0</v>
      </c>
      <c r="P28" s="48">
        <f t="shared" si="3"/>
        <v>0</v>
      </c>
    </row>
    <row r="29" spans="1:16" x14ac:dyDescent="0.2">
      <c r="A29" s="61" t="s">
        <v>91</v>
      </c>
      <c r="B29" s="62"/>
      <c r="C29" s="62"/>
      <c r="D29" s="62"/>
      <c r="E29" s="62"/>
      <c r="F29" s="62"/>
      <c r="G29" s="62"/>
      <c r="H29" s="63"/>
      <c r="I29" s="64"/>
      <c r="J29" s="64"/>
      <c r="K29" s="64"/>
      <c r="L29" s="65"/>
      <c r="M29" s="66">
        <f t="shared" si="3"/>
        <v>0</v>
      </c>
      <c r="N29" s="67">
        <f t="shared" si="3"/>
        <v>0</v>
      </c>
      <c r="O29" s="67">
        <f t="shared" si="3"/>
        <v>0</v>
      </c>
      <c r="P29" s="67">
        <f t="shared" si="3"/>
        <v>0</v>
      </c>
    </row>
    <row r="30" spans="1:16" x14ac:dyDescent="0.2">
      <c r="A30" s="55"/>
      <c r="B30" s="56"/>
      <c r="C30" s="56"/>
      <c r="D30" s="56"/>
      <c r="E30" s="56"/>
      <c r="F30" s="56"/>
      <c r="G30" s="56"/>
      <c r="H30" s="58"/>
      <c r="I30" s="68"/>
      <c r="J30" s="68"/>
      <c r="K30" s="68"/>
      <c r="L30" s="68"/>
      <c r="M30" s="59"/>
      <c r="N30" s="60"/>
      <c r="O30" s="60"/>
      <c r="P30" s="60"/>
    </row>
    <row r="31" spans="1:16" hidden="1" x14ac:dyDescent="0.2">
      <c r="A31" s="69" t="s">
        <v>92</v>
      </c>
      <c r="B31" s="70"/>
      <c r="C31" s="44"/>
      <c r="D31" s="44"/>
      <c r="E31" s="44"/>
      <c r="F31" s="44"/>
      <c r="G31" s="44"/>
      <c r="H31" s="45"/>
      <c r="I31" s="44"/>
      <c r="J31" s="46"/>
      <c r="K31" s="46"/>
      <c r="L31" s="46"/>
      <c r="M31" s="47"/>
      <c r="N31" s="48"/>
      <c r="O31" s="48"/>
      <c r="P31" s="48"/>
    </row>
    <row r="32" spans="1:16" hidden="1" x14ac:dyDescent="0.2">
      <c r="A32" s="69"/>
      <c r="B32" s="43"/>
      <c r="C32" s="44"/>
      <c r="D32" s="44"/>
      <c r="E32" s="44"/>
      <c r="F32" s="44"/>
      <c r="G32" s="44"/>
      <c r="H32" s="45"/>
      <c r="I32" s="44"/>
      <c r="J32" s="46"/>
      <c r="K32" s="46"/>
      <c r="L32" s="46"/>
      <c r="M32" s="47">
        <f t="shared" ref="M32:P37" si="4">IFERROR(H32/H$29,0)</f>
        <v>0</v>
      </c>
      <c r="N32" s="48">
        <f t="shared" si="4"/>
        <v>0</v>
      </c>
      <c r="O32" s="48">
        <f t="shared" si="4"/>
        <v>0</v>
      </c>
      <c r="P32" s="48">
        <f t="shared" si="4"/>
        <v>0</v>
      </c>
    </row>
    <row r="33" spans="1:18" hidden="1" x14ac:dyDescent="0.2">
      <c r="A33" s="69"/>
      <c r="B33" s="43"/>
      <c r="C33" s="44"/>
      <c r="D33" s="44"/>
      <c r="E33" s="44"/>
      <c r="F33" s="44"/>
      <c r="G33" s="44"/>
      <c r="H33" s="45"/>
      <c r="I33" s="44"/>
      <c r="J33" s="46"/>
      <c r="K33" s="46"/>
      <c r="L33" s="46"/>
      <c r="M33" s="47">
        <f t="shared" si="4"/>
        <v>0</v>
      </c>
      <c r="N33" s="48">
        <f t="shared" si="4"/>
        <v>0</v>
      </c>
      <c r="O33" s="48">
        <f t="shared" si="4"/>
        <v>0</v>
      </c>
      <c r="P33" s="48">
        <f t="shared" si="4"/>
        <v>0</v>
      </c>
    </row>
    <row r="34" spans="1:18" hidden="1" x14ac:dyDescent="0.2">
      <c r="A34" s="69"/>
      <c r="B34" s="43"/>
      <c r="C34" s="44"/>
      <c r="D34" s="44"/>
      <c r="E34" s="44"/>
      <c r="F34" s="44"/>
      <c r="G34" s="44"/>
      <c r="H34" s="45"/>
      <c r="I34" s="44"/>
      <c r="J34" s="46"/>
      <c r="K34" s="46"/>
      <c r="L34" s="46"/>
      <c r="M34" s="47">
        <f t="shared" si="4"/>
        <v>0</v>
      </c>
      <c r="N34" s="48">
        <f t="shared" si="4"/>
        <v>0</v>
      </c>
      <c r="O34" s="48">
        <f t="shared" si="4"/>
        <v>0</v>
      </c>
      <c r="P34" s="48">
        <f t="shared" si="4"/>
        <v>0</v>
      </c>
    </row>
    <row r="35" spans="1:18" hidden="1" x14ac:dyDescent="0.2">
      <c r="A35" s="69"/>
      <c r="B35" s="43"/>
      <c r="C35" s="44"/>
      <c r="D35" s="44"/>
      <c r="E35" s="44"/>
      <c r="F35" s="44"/>
      <c r="G35" s="44"/>
      <c r="H35" s="45"/>
      <c r="I35" s="44"/>
      <c r="J35" s="46"/>
      <c r="K35" s="46"/>
      <c r="L35" s="46"/>
      <c r="M35" s="47">
        <f t="shared" si="4"/>
        <v>0</v>
      </c>
      <c r="N35" s="48">
        <f t="shared" si="4"/>
        <v>0</v>
      </c>
      <c r="O35" s="48">
        <f t="shared" si="4"/>
        <v>0</v>
      </c>
      <c r="P35" s="48">
        <f t="shared" si="4"/>
        <v>0</v>
      </c>
    </row>
    <row r="36" spans="1:18" hidden="1" x14ac:dyDescent="0.2">
      <c r="A36" s="69"/>
      <c r="B36" s="43"/>
      <c r="C36" s="44"/>
      <c r="D36" s="44"/>
      <c r="E36" s="44"/>
      <c r="F36" s="44"/>
      <c r="G36" s="44"/>
      <c r="H36" s="45"/>
      <c r="I36" s="44"/>
      <c r="J36" s="46"/>
      <c r="K36" s="46"/>
      <c r="L36" s="46"/>
      <c r="M36" s="47">
        <f t="shared" si="4"/>
        <v>0</v>
      </c>
      <c r="N36" s="48">
        <f t="shared" si="4"/>
        <v>0</v>
      </c>
      <c r="O36" s="48">
        <f t="shared" si="4"/>
        <v>0</v>
      </c>
      <c r="P36" s="48">
        <f t="shared" si="4"/>
        <v>0</v>
      </c>
    </row>
    <row r="37" spans="1:18" hidden="1" x14ac:dyDescent="0.2">
      <c r="A37" s="69"/>
      <c r="B37" s="43"/>
      <c r="C37" s="44"/>
      <c r="D37" s="44"/>
      <c r="E37" s="44"/>
      <c r="F37" s="44"/>
      <c r="G37" s="44"/>
      <c r="H37" s="45"/>
      <c r="I37" s="44"/>
      <c r="J37" s="46"/>
      <c r="K37" s="46"/>
      <c r="L37" s="46"/>
      <c r="M37" s="47">
        <f t="shared" si="4"/>
        <v>0</v>
      </c>
      <c r="N37" s="48">
        <f t="shared" si="4"/>
        <v>0</v>
      </c>
      <c r="O37" s="48">
        <f t="shared" si="4"/>
        <v>0</v>
      </c>
      <c r="P37" s="48">
        <f t="shared" si="4"/>
        <v>0</v>
      </c>
    </row>
    <row r="38" spans="1:18" hidden="1" x14ac:dyDescent="0.2">
      <c r="A38" s="69"/>
      <c r="B38" s="43"/>
      <c r="C38" s="44"/>
      <c r="D38" s="44"/>
      <c r="E38" s="44"/>
      <c r="F38" s="44"/>
      <c r="G38" s="44"/>
      <c r="H38" s="45"/>
      <c r="I38" s="44"/>
      <c r="J38" s="46"/>
      <c r="K38" s="46"/>
      <c r="L38" s="46"/>
      <c r="M38" s="47">
        <f>IFERROR(H38/H$29,0)</f>
        <v>0</v>
      </c>
      <c r="N38" s="48">
        <f>IFERROR(I38/I$29,0)</f>
        <v>0</v>
      </c>
      <c r="O38" s="48">
        <f>IFERROR(J38/J$29,0)</f>
        <v>0</v>
      </c>
      <c r="P38" s="48">
        <f>IFERROR(K38/K$29,0)</f>
        <v>0</v>
      </c>
    </row>
    <row r="39" spans="1:18" hidden="1" x14ac:dyDescent="0.2">
      <c r="A39" s="42"/>
      <c r="B39" s="43"/>
      <c r="C39" s="44"/>
      <c r="D39" s="44"/>
      <c r="E39" s="44"/>
      <c r="F39" s="44"/>
      <c r="G39" s="44"/>
      <c r="H39" s="45"/>
      <c r="I39" s="44"/>
      <c r="J39" s="46"/>
      <c r="K39" s="46"/>
      <c r="L39" s="46"/>
      <c r="M39" s="47">
        <f t="shared" ref="M39:P41" si="5">IFERROR(H39/H$29,0)</f>
        <v>0</v>
      </c>
      <c r="N39" s="48">
        <f t="shared" si="5"/>
        <v>0</v>
      </c>
      <c r="O39" s="48">
        <f t="shared" si="5"/>
        <v>0</v>
      </c>
      <c r="P39" s="48">
        <f t="shared" si="5"/>
        <v>0</v>
      </c>
    </row>
    <row r="40" spans="1:18" hidden="1" x14ac:dyDescent="0.2">
      <c r="A40" s="42"/>
      <c r="B40" s="43"/>
      <c r="C40" s="44"/>
      <c r="D40" s="44"/>
      <c r="E40" s="44"/>
      <c r="F40" s="44"/>
      <c r="G40" s="44"/>
      <c r="H40" s="45"/>
      <c r="I40" s="44"/>
      <c r="J40" s="46"/>
      <c r="K40" s="46"/>
      <c r="L40" s="46"/>
      <c r="M40" s="47">
        <f t="shared" si="5"/>
        <v>0</v>
      </c>
      <c r="N40" s="48">
        <f t="shared" si="5"/>
        <v>0</v>
      </c>
      <c r="O40" s="48">
        <f t="shared" si="5"/>
        <v>0</v>
      </c>
      <c r="P40" s="48">
        <f t="shared" si="5"/>
        <v>0</v>
      </c>
    </row>
    <row r="41" spans="1:18" hidden="1" x14ac:dyDescent="0.2">
      <c r="A41" s="42"/>
      <c r="B41" s="43"/>
      <c r="C41" s="44"/>
      <c r="D41" s="44"/>
      <c r="E41" s="44"/>
      <c r="F41" s="44"/>
      <c r="G41" s="44"/>
      <c r="H41" s="45"/>
      <c r="I41" s="44"/>
      <c r="J41" s="46"/>
      <c r="K41" s="46"/>
      <c r="L41" s="46"/>
      <c r="M41" s="47">
        <f t="shared" si="5"/>
        <v>0</v>
      </c>
      <c r="N41" s="48">
        <f t="shared" si="5"/>
        <v>0</v>
      </c>
      <c r="O41" s="48">
        <f t="shared" si="5"/>
        <v>0</v>
      </c>
      <c r="P41" s="48">
        <f t="shared" si="5"/>
        <v>0</v>
      </c>
    </row>
    <row r="42" spans="1:18" hidden="1" x14ac:dyDescent="0.2">
      <c r="A42" s="61" t="s">
        <v>93</v>
      </c>
      <c r="B42" s="62"/>
      <c r="C42" s="62"/>
      <c r="D42" s="62"/>
      <c r="E42" s="62"/>
      <c r="F42" s="62"/>
      <c r="G42" s="62"/>
      <c r="H42" s="71">
        <f>SUM(H32:H41)</f>
        <v>0</v>
      </c>
      <c r="I42" s="72">
        <f>SUM(I32:I41)</f>
        <v>0</v>
      </c>
      <c r="J42" s="72">
        <f>SUM(J32:J41)</f>
        <v>0</v>
      </c>
      <c r="K42" s="72">
        <f>SUM(K32:K41)</f>
        <v>0</v>
      </c>
      <c r="L42" s="72"/>
      <c r="M42" s="66">
        <f>IFERROR(H42/H$29,0)</f>
        <v>0</v>
      </c>
      <c r="N42" s="67">
        <f>IFERROR(I42/I$29,0)</f>
        <v>0</v>
      </c>
      <c r="O42" s="67">
        <f>IFERROR(J42/J$29,0)</f>
        <v>0</v>
      </c>
      <c r="P42" s="67">
        <f>IFERROR(K42/K$29,0)</f>
        <v>0</v>
      </c>
    </row>
    <row r="43" spans="1:18" x14ac:dyDescent="0.2">
      <c r="A43" s="42"/>
      <c r="B43" s="43"/>
      <c r="C43" s="44"/>
      <c r="D43" s="44"/>
      <c r="E43" s="44"/>
      <c r="F43" s="44"/>
      <c r="G43" s="44"/>
      <c r="H43" s="73"/>
      <c r="I43" s="44"/>
      <c r="J43" s="46"/>
      <c r="K43" s="46"/>
      <c r="L43" s="46"/>
      <c r="M43" s="48"/>
      <c r="N43" s="48"/>
      <c r="O43" s="48"/>
      <c r="P43" s="48"/>
    </row>
    <row r="44" spans="1:18" x14ac:dyDescent="0.2">
      <c r="C44" s="44"/>
      <c r="D44" s="44"/>
      <c r="E44" s="44"/>
      <c r="F44" s="44"/>
      <c r="G44" s="44"/>
      <c r="H44" s="74"/>
      <c r="I44" s="74"/>
      <c r="J44" s="74"/>
      <c r="K44" s="74"/>
      <c r="L44" s="74"/>
      <c r="R44" s="75"/>
    </row>
    <row r="45" spans="1:18" x14ac:dyDescent="0.2">
      <c r="C45" s="44"/>
      <c r="D45" s="44"/>
      <c r="E45" s="44"/>
      <c r="F45" s="44"/>
      <c r="G45" s="44"/>
      <c r="H45" s="44"/>
      <c r="I45" s="44"/>
      <c r="J45" s="44"/>
      <c r="K45" s="44"/>
      <c r="L45" s="44"/>
    </row>
  </sheetData>
  <mergeCells count="3">
    <mergeCell ref="C5:F5"/>
    <mergeCell ref="H5:K5"/>
    <mergeCell ref="M5:P5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A65FE-FC41-4C49-B863-3C6F77127D0A}">
  <dimension ref="A1:R29"/>
  <sheetViews>
    <sheetView showGridLines="0" zoomScale="115" zoomScaleNormal="115" workbookViewId="0">
      <selection activeCell="Q5" sqref="Q5:S11"/>
    </sheetView>
  </sheetViews>
  <sheetFormatPr defaultColWidth="9.140625" defaultRowHeight="11.25" x14ac:dyDescent="0.2"/>
  <cols>
    <col min="1" max="1" width="3.7109375" style="7" customWidth="1"/>
    <col min="2" max="2" width="30.7109375" style="7" customWidth="1"/>
    <col min="3" max="6" width="6.7109375" style="7" customWidth="1"/>
    <col min="7" max="7" width="0.85546875" style="7" customWidth="1"/>
    <col min="8" max="11" width="8.7109375" style="7" customWidth="1"/>
    <col min="12" max="12" width="0.85546875" style="7" customWidth="1"/>
    <col min="13" max="16" width="6.7109375" style="7" customWidth="1"/>
    <col min="17" max="16384" width="9.140625" style="7"/>
  </cols>
  <sheetData>
    <row r="1" spans="1:18" s="6" customFormat="1" ht="12.75" x14ac:dyDescent="0.2">
      <c r="A1" s="3" t="str">
        <f>[3]Index!C3</f>
        <v>BEDRIJF</v>
      </c>
      <c r="B1" s="3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8" s="6" customFormat="1" ht="12.75" x14ac:dyDescent="0.2">
      <c r="A2" s="3" t="s">
        <v>94</v>
      </c>
      <c r="B2" s="3"/>
      <c r="C2" s="5"/>
      <c r="D2" s="5"/>
      <c r="E2" s="5"/>
      <c r="F2" s="5"/>
      <c r="G2" s="5"/>
      <c r="H2" s="5"/>
      <c r="I2" s="5"/>
      <c r="J2" s="5"/>
      <c r="K2" s="5"/>
      <c r="L2" s="5"/>
    </row>
    <row r="4" spans="1:18" ht="12" thickBot="1" x14ac:dyDescent="0.25"/>
    <row r="5" spans="1:18" ht="12.75" customHeight="1" x14ac:dyDescent="0.2">
      <c r="A5" s="34" t="s">
        <v>94</v>
      </c>
      <c r="B5" s="34"/>
      <c r="C5" s="77" t="s">
        <v>69</v>
      </c>
      <c r="D5" s="77"/>
      <c r="E5" s="77"/>
      <c r="F5" s="77"/>
      <c r="G5" s="35"/>
      <c r="H5" s="78" t="s">
        <v>95</v>
      </c>
      <c r="I5" s="77"/>
      <c r="J5" s="77"/>
      <c r="K5" s="77"/>
      <c r="L5" s="35"/>
      <c r="M5" s="78" t="s">
        <v>96</v>
      </c>
      <c r="N5" s="77"/>
      <c r="O5" s="77"/>
      <c r="P5" s="77"/>
      <c r="R5" s="18"/>
    </row>
    <row r="6" spans="1:18" s="9" customFormat="1" x14ac:dyDescent="0.2">
      <c r="A6" s="37" t="str">
        <f>'W&amp;V'!A7</f>
        <v>[Bedrijfsnaam]</v>
      </c>
      <c r="B6" s="19"/>
      <c r="C6" s="19"/>
      <c r="D6" s="19"/>
      <c r="E6" s="19"/>
      <c r="F6" s="19"/>
      <c r="G6" s="19"/>
      <c r="H6" s="38"/>
      <c r="I6" s="19"/>
      <c r="J6" s="19"/>
      <c r="K6" s="19"/>
      <c r="L6" s="19"/>
      <c r="M6" s="38"/>
      <c r="N6" s="19"/>
      <c r="O6" s="19"/>
      <c r="P6" s="19"/>
      <c r="R6" s="7"/>
    </row>
    <row r="7" spans="1:18" x14ac:dyDescent="0.2">
      <c r="A7" s="39" t="str">
        <f>[3]Index!C15</f>
        <v>(x € 1)</v>
      </c>
      <c r="B7" s="39"/>
      <c r="C7" s="40">
        <v>2021</v>
      </c>
      <c r="D7" s="40">
        <v>2022</v>
      </c>
      <c r="E7" s="40">
        <v>2023</v>
      </c>
      <c r="F7" s="40">
        <v>2024</v>
      </c>
      <c r="G7" s="40"/>
      <c r="H7" s="41">
        <v>2021</v>
      </c>
      <c r="I7" s="40">
        <v>2022</v>
      </c>
      <c r="J7" s="40">
        <v>2023</v>
      </c>
      <c r="K7" s="40">
        <v>2024</v>
      </c>
      <c r="L7" s="40"/>
      <c r="M7" s="41">
        <v>2021</v>
      </c>
      <c r="N7" s="40">
        <v>2022</v>
      </c>
      <c r="O7" s="40">
        <v>2023</v>
      </c>
      <c r="P7" s="40">
        <v>2024</v>
      </c>
    </row>
    <row r="8" spans="1:18" x14ac:dyDescent="0.2">
      <c r="A8" s="42" t="s">
        <v>71</v>
      </c>
      <c r="C8" s="44"/>
      <c r="D8" s="44"/>
      <c r="E8" s="44"/>
      <c r="F8" s="44">
        <v>1</v>
      </c>
      <c r="G8" s="44"/>
      <c r="H8" s="45"/>
      <c r="I8" s="44"/>
      <c r="J8" s="46"/>
      <c r="K8" s="46"/>
      <c r="L8" s="46"/>
      <c r="M8" s="47">
        <f t="shared" ref="M8:P22" si="0">IFERROR(H8/H$25,0)</f>
        <v>0</v>
      </c>
      <c r="N8" s="48">
        <f t="shared" si="0"/>
        <v>0</v>
      </c>
      <c r="O8" s="48">
        <f t="shared" si="0"/>
        <v>0</v>
      </c>
      <c r="P8" s="48">
        <f t="shared" si="0"/>
        <v>0</v>
      </c>
      <c r="R8" s="18"/>
    </row>
    <row r="9" spans="1:18" x14ac:dyDescent="0.2">
      <c r="A9" s="42" t="s">
        <v>72</v>
      </c>
      <c r="C9" s="44"/>
      <c r="D9" s="44"/>
      <c r="E9" s="44"/>
      <c r="F9" s="44">
        <v>2</v>
      </c>
      <c r="G9" s="44"/>
      <c r="H9" s="45"/>
      <c r="I9" s="44"/>
      <c r="J9" s="46"/>
      <c r="K9" s="46"/>
      <c r="L9" s="46"/>
      <c r="M9" s="47">
        <f t="shared" si="0"/>
        <v>0</v>
      </c>
      <c r="N9" s="48">
        <f t="shared" si="0"/>
        <v>0</v>
      </c>
      <c r="O9" s="48">
        <f t="shared" si="0"/>
        <v>0</v>
      </c>
      <c r="P9" s="48">
        <f t="shared" si="0"/>
        <v>0</v>
      </c>
    </row>
    <row r="10" spans="1:18" x14ac:dyDescent="0.2">
      <c r="A10" s="42" t="s">
        <v>73</v>
      </c>
      <c r="C10" s="44"/>
      <c r="D10" s="44"/>
      <c r="E10" s="44"/>
      <c r="F10" s="44">
        <v>3</v>
      </c>
      <c r="G10" s="44"/>
      <c r="H10" s="45"/>
      <c r="I10" s="44"/>
      <c r="J10" s="46"/>
      <c r="K10" s="46"/>
      <c r="L10" s="46"/>
      <c r="M10" s="47">
        <f t="shared" si="0"/>
        <v>0</v>
      </c>
      <c r="N10" s="48">
        <f t="shared" si="0"/>
        <v>0</v>
      </c>
      <c r="O10" s="48">
        <f t="shared" si="0"/>
        <v>0</v>
      </c>
      <c r="P10" s="48">
        <f t="shared" si="0"/>
        <v>0</v>
      </c>
    </row>
    <row r="11" spans="1:18" x14ac:dyDescent="0.2">
      <c r="A11" s="42" t="s">
        <v>74</v>
      </c>
      <c r="C11" s="44"/>
      <c r="D11" s="44"/>
      <c r="E11" s="44"/>
      <c r="F11" s="44">
        <v>4</v>
      </c>
      <c r="G11" s="44"/>
      <c r="H11" s="45"/>
      <c r="I11" s="44"/>
      <c r="J11" s="46"/>
      <c r="K11" s="46"/>
      <c r="L11" s="46"/>
      <c r="M11" s="47">
        <f t="shared" si="0"/>
        <v>0</v>
      </c>
      <c r="N11" s="48">
        <f t="shared" si="0"/>
        <v>0</v>
      </c>
      <c r="O11" s="48">
        <f t="shared" si="0"/>
        <v>0</v>
      </c>
      <c r="P11" s="48">
        <f t="shared" si="0"/>
        <v>0</v>
      </c>
    </row>
    <row r="12" spans="1:18" x14ac:dyDescent="0.2">
      <c r="A12" s="42" t="s">
        <v>75</v>
      </c>
      <c r="C12" s="44"/>
      <c r="D12" s="44"/>
      <c r="E12" s="44"/>
      <c r="F12" s="44">
        <v>5</v>
      </c>
      <c r="G12" s="44"/>
      <c r="H12" s="45"/>
      <c r="I12" s="44"/>
      <c r="J12" s="46"/>
      <c r="K12" s="46"/>
      <c r="L12" s="46"/>
      <c r="M12" s="47">
        <f t="shared" si="0"/>
        <v>0</v>
      </c>
      <c r="N12" s="48">
        <f t="shared" si="0"/>
        <v>0</v>
      </c>
      <c r="O12" s="48">
        <f t="shared" si="0"/>
        <v>0</v>
      </c>
      <c r="P12" s="48">
        <f t="shared" si="0"/>
        <v>0</v>
      </c>
    </row>
    <row r="13" spans="1:18" x14ac:dyDescent="0.2">
      <c r="A13" s="42" t="s">
        <v>76</v>
      </c>
      <c r="C13" s="44"/>
      <c r="D13" s="44"/>
      <c r="E13" s="44"/>
      <c r="F13" s="44">
        <v>6</v>
      </c>
      <c r="G13" s="44"/>
      <c r="H13" s="45"/>
      <c r="I13" s="44"/>
      <c r="J13" s="46"/>
      <c r="K13" s="46"/>
      <c r="L13" s="46"/>
      <c r="M13" s="47">
        <f t="shared" si="0"/>
        <v>0</v>
      </c>
      <c r="N13" s="48">
        <f t="shared" si="0"/>
        <v>0</v>
      </c>
      <c r="O13" s="48">
        <f t="shared" si="0"/>
        <v>0</v>
      </c>
      <c r="P13" s="48">
        <f t="shared" si="0"/>
        <v>0</v>
      </c>
    </row>
    <row r="14" spans="1:18" x14ac:dyDescent="0.2">
      <c r="A14" s="42" t="s">
        <v>77</v>
      </c>
      <c r="C14" s="44"/>
      <c r="D14" s="44"/>
      <c r="E14" s="44"/>
      <c r="F14" s="44">
        <v>7</v>
      </c>
      <c r="G14" s="44"/>
      <c r="H14" s="45"/>
      <c r="I14" s="44"/>
      <c r="J14" s="46"/>
      <c r="K14" s="46"/>
      <c r="L14" s="46"/>
      <c r="M14" s="47">
        <f t="shared" si="0"/>
        <v>0</v>
      </c>
      <c r="N14" s="48">
        <f t="shared" si="0"/>
        <v>0</v>
      </c>
      <c r="O14" s="48">
        <f t="shared" si="0"/>
        <v>0</v>
      </c>
      <c r="P14" s="48">
        <f t="shared" si="0"/>
        <v>0</v>
      </c>
    </row>
    <row r="15" spans="1:18" x14ac:dyDescent="0.2">
      <c r="A15" s="42" t="s">
        <v>78</v>
      </c>
      <c r="C15" s="44"/>
      <c r="D15" s="44"/>
      <c r="E15" s="44"/>
      <c r="F15" s="44">
        <v>8</v>
      </c>
      <c r="G15" s="44"/>
      <c r="H15" s="45"/>
      <c r="I15" s="44"/>
      <c r="J15" s="46"/>
      <c r="K15" s="46"/>
      <c r="L15" s="46"/>
      <c r="M15" s="47">
        <f t="shared" si="0"/>
        <v>0</v>
      </c>
      <c r="N15" s="48">
        <f t="shared" si="0"/>
        <v>0</v>
      </c>
      <c r="O15" s="48">
        <f t="shared" si="0"/>
        <v>0</v>
      </c>
      <c r="P15" s="48">
        <f t="shared" si="0"/>
        <v>0</v>
      </c>
    </row>
    <row r="16" spans="1:18" x14ac:dyDescent="0.2">
      <c r="A16" s="42" t="s">
        <v>79</v>
      </c>
      <c r="C16" s="44"/>
      <c r="D16" s="44"/>
      <c r="E16" s="44"/>
      <c r="F16" s="44">
        <v>9</v>
      </c>
      <c r="G16" s="44"/>
      <c r="H16" s="45"/>
      <c r="I16" s="44"/>
      <c r="J16" s="46"/>
      <c r="K16" s="46"/>
      <c r="L16" s="46"/>
      <c r="M16" s="47">
        <f t="shared" si="0"/>
        <v>0</v>
      </c>
      <c r="N16" s="48">
        <f t="shared" si="0"/>
        <v>0</v>
      </c>
      <c r="O16" s="48">
        <f t="shared" si="0"/>
        <v>0</v>
      </c>
      <c r="P16" s="48">
        <f t="shared" si="0"/>
        <v>0</v>
      </c>
    </row>
    <row r="17" spans="1:16" x14ac:dyDescent="0.2">
      <c r="A17" s="42" t="s">
        <v>80</v>
      </c>
      <c r="C17" s="44"/>
      <c r="D17" s="44"/>
      <c r="E17" s="44"/>
      <c r="F17" s="44">
        <v>10</v>
      </c>
      <c r="G17" s="44"/>
      <c r="H17" s="45"/>
      <c r="I17" s="44"/>
      <c r="J17" s="46"/>
      <c r="K17" s="46"/>
      <c r="L17" s="46"/>
      <c r="M17" s="47">
        <f t="shared" si="0"/>
        <v>0</v>
      </c>
      <c r="N17" s="48">
        <f t="shared" si="0"/>
        <v>0</v>
      </c>
      <c r="O17" s="48">
        <f t="shared" si="0"/>
        <v>0</v>
      </c>
      <c r="P17" s="48">
        <f t="shared" si="0"/>
        <v>0</v>
      </c>
    </row>
    <row r="18" spans="1:16" x14ac:dyDescent="0.2">
      <c r="A18" s="42" t="s">
        <v>81</v>
      </c>
      <c r="B18" s="43"/>
      <c r="C18" s="44"/>
      <c r="D18" s="44"/>
      <c r="E18" s="44"/>
      <c r="F18" s="44"/>
      <c r="G18" s="44"/>
      <c r="H18" s="45"/>
      <c r="I18" s="44"/>
      <c r="J18" s="46"/>
      <c r="K18" s="46"/>
      <c r="L18" s="46"/>
      <c r="M18" s="47">
        <f t="shared" si="0"/>
        <v>0</v>
      </c>
      <c r="N18" s="48">
        <f t="shared" si="0"/>
        <v>0</v>
      </c>
      <c r="O18" s="48">
        <f t="shared" si="0"/>
        <v>0</v>
      </c>
      <c r="P18" s="48">
        <f t="shared" si="0"/>
        <v>0</v>
      </c>
    </row>
    <row r="19" spans="1:16" x14ac:dyDescent="0.2">
      <c r="A19" s="42" t="s">
        <v>82</v>
      </c>
      <c r="B19" s="43"/>
      <c r="C19" s="44"/>
      <c r="D19" s="44"/>
      <c r="E19" s="44"/>
      <c r="F19" s="44"/>
      <c r="G19" s="44"/>
      <c r="H19" s="45"/>
      <c r="I19" s="44"/>
      <c r="J19" s="46"/>
      <c r="K19" s="46"/>
      <c r="L19" s="46"/>
      <c r="M19" s="47">
        <f t="shared" si="0"/>
        <v>0</v>
      </c>
      <c r="N19" s="48">
        <f t="shared" si="0"/>
        <v>0</v>
      </c>
      <c r="O19" s="48">
        <f t="shared" si="0"/>
        <v>0</v>
      </c>
      <c r="P19" s="48">
        <f t="shared" si="0"/>
        <v>0</v>
      </c>
    </row>
    <row r="20" spans="1:16" x14ac:dyDescent="0.2">
      <c r="A20" s="42" t="s">
        <v>83</v>
      </c>
      <c r="B20" s="43"/>
      <c r="C20" s="44"/>
      <c r="D20" s="44"/>
      <c r="E20" s="44"/>
      <c r="F20" s="44"/>
      <c r="G20" s="44"/>
      <c r="H20" s="45"/>
      <c r="I20" s="44"/>
      <c r="J20" s="46"/>
      <c r="K20" s="46"/>
      <c r="L20" s="46"/>
      <c r="M20" s="47">
        <f t="shared" si="0"/>
        <v>0</v>
      </c>
      <c r="N20" s="48">
        <f t="shared" si="0"/>
        <v>0</v>
      </c>
      <c r="O20" s="48">
        <f t="shared" si="0"/>
        <v>0</v>
      </c>
      <c r="P20" s="48">
        <f t="shared" si="0"/>
        <v>0</v>
      </c>
    </row>
    <row r="21" spans="1:16" x14ac:dyDescent="0.2">
      <c r="A21" s="42" t="s">
        <v>84</v>
      </c>
      <c r="B21" s="43"/>
      <c r="C21" s="44"/>
      <c r="D21" s="44"/>
      <c r="E21" s="44"/>
      <c r="F21" s="44"/>
      <c r="G21" s="44"/>
      <c r="H21" s="45"/>
      <c r="I21" s="44"/>
      <c r="J21" s="46"/>
      <c r="K21" s="46"/>
      <c r="L21" s="46"/>
      <c r="M21" s="47">
        <f t="shared" si="0"/>
        <v>0</v>
      </c>
      <c r="N21" s="48">
        <f t="shared" si="0"/>
        <v>0</v>
      </c>
      <c r="O21" s="48">
        <f t="shared" si="0"/>
        <v>0</v>
      </c>
      <c r="P21" s="48">
        <f t="shared" si="0"/>
        <v>0</v>
      </c>
    </row>
    <row r="22" spans="1:16" x14ac:dyDescent="0.2">
      <c r="A22" s="49" t="s">
        <v>97</v>
      </c>
      <c r="B22" s="50"/>
      <c r="C22" s="51"/>
      <c r="D22" s="51"/>
      <c r="E22" s="51"/>
      <c r="F22" s="51"/>
      <c r="G22" s="51"/>
      <c r="H22" s="52">
        <f>SUM(H8:H21)</f>
        <v>0</v>
      </c>
      <c r="I22" s="51">
        <f>SUM(I8:I21)</f>
        <v>0</v>
      </c>
      <c r="J22" s="51">
        <f>SUM(J8:J21)</f>
        <v>0</v>
      </c>
      <c r="K22" s="51">
        <f>SUM(K8:K21)</f>
        <v>0</v>
      </c>
      <c r="L22" s="51"/>
      <c r="M22" s="53">
        <f t="shared" si="0"/>
        <v>0</v>
      </c>
      <c r="N22" s="54">
        <f t="shared" si="0"/>
        <v>0</v>
      </c>
      <c r="O22" s="54">
        <f t="shared" si="0"/>
        <v>0</v>
      </c>
      <c r="P22" s="54">
        <f t="shared" si="0"/>
        <v>0</v>
      </c>
    </row>
    <row r="23" spans="1:16" x14ac:dyDescent="0.2">
      <c r="A23" s="55"/>
      <c r="B23" s="56"/>
      <c r="C23" s="57"/>
      <c r="D23" s="57"/>
      <c r="E23" s="57"/>
      <c r="F23" s="57"/>
      <c r="G23" s="57"/>
      <c r="H23" s="58"/>
      <c r="I23" s="57"/>
      <c r="J23" s="57"/>
      <c r="K23" s="57"/>
      <c r="L23" s="57"/>
      <c r="M23" s="59"/>
      <c r="N23" s="60"/>
      <c r="O23" s="60"/>
      <c r="P23" s="60"/>
    </row>
    <row r="24" spans="1:16" x14ac:dyDescent="0.2">
      <c r="A24" s="42" t="s">
        <v>98</v>
      </c>
      <c r="B24" s="43"/>
      <c r="C24" s="44"/>
      <c r="D24" s="44"/>
      <c r="E24" s="44"/>
      <c r="F24" s="44"/>
      <c r="G24" s="44"/>
      <c r="H24" s="45">
        <f>H25-H22</f>
        <v>0</v>
      </c>
      <c r="I24" s="44">
        <f>I25-I22</f>
        <v>0</v>
      </c>
      <c r="J24" s="44">
        <f>J25-J22</f>
        <v>0</v>
      </c>
      <c r="K24" s="44">
        <f>K25-K22</f>
        <v>0</v>
      </c>
      <c r="L24" s="44"/>
      <c r="M24" s="47">
        <f t="shared" ref="M24:P25" si="1">IFERROR(H24/H$25,0)</f>
        <v>0</v>
      </c>
      <c r="N24" s="48">
        <f t="shared" si="1"/>
        <v>0</v>
      </c>
      <c r="O24" s="48">
        <f t="shared" si="1"/>
        <v>0</v>
      </c>
      <c r="P24" s="48">
        <f t="shared" si="1"/>
        <v>0</v>
      </c>
    </row>
    <row r="25" spans="1:16" x14ac:dyDescent="0.2">
      <c r="A25" s="61" t="s">
        <v>99</v>
      </c>
      <c r="B25" s="62"/>
      <c r="C25" s="62"/>
      <c r="D25" s="62"/>
      <c r="E25" s="62"/>
      <c r="F25" s="62"/>
      <c r="G25" s="62"/>
      <c r="H25" s="63"/>
      <c r="I25" s="64"/>
      <c r="J25" s="64"/>
      <c r="K25" s="64"/>
      <c r="L25" s="65"/>
      <c r="M25" s="66">
        <f t="shared" si="1"/>
        <v>0</v>
      </c>
      <c r="N25" s="67">
        <f t="shared" si="1"/>
        <v>0</v>
      </c>
      <c r="O25" s="67">
        <f t="shared" si="1"/>
        <v>0</v>
      </c>
      <c r="P25" s="67">
        <f t="shared" si="1"/>
        <v>0</v>
      </c>
    </row>
    <row r="26" spans="1:16" x14ac:dyDescent="0.2">
      <c r="I26" s="76"/>
    </row>
    <row r="27" spans="1:16" x14ac:dyDescent="0.2">
      <c r="H27" s="74"/>
    </row>
    <row r="28" spans="1:16" x14ac:dyDescent="0.2">
      <c r="H28" s="74"/>
    </row>
    <row r="29" spans="1:16" x14ac:dyDescent="0.2">
      <c r="H29" s="74"/>
    </row>
  </sheetData>
  <mergeCells count="3">
    <mergeCell ref="C5:F5"/>
    <mergeCell ref="H5:K5"/>
    <mergeCell ref="M5:P5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9469099ACCE24281BFE895D25D2E02" ma:contentTypeVersion="20" ma:contentTypeDescription="Een nieuw document maken." ma:contentTypeScope="" ma:versionID="528d89578483c4cc0c14e5ff473746e2">
  <xsd:schema xmlns:xsd="http://www.w3.org/2001/XMLSchema" xmlns:xs="http://www.w3.org/2001/XMLSchema" xmlns:p="http://schemas.microsoft.com/office/2006/metadata/properties" xmlns:ns2="6c2cb54b-f483-4fe9-aff6-6698c08f5773" xmlns:ns3="0d2612a0-a673-463d-ae7c-03c520b190d6" targetNamespace="http://schemas.microsoft.com/office/2006/metadata/properties" ma:root="true" ma:fieldsID="d078d554ca4cb91e69fba035eb5fc5d5" ns2:_="" ns3:_="">
    <xsd:import namespace="6c2cb54b-f483-4fe9-aff6-6698c08f5773"/>
    <xsd:import namespace="0d2612a0-a673-463d-ae7c-03c520b190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2cb54b-f483-4fe9-aff6-6698c08f57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1cdef4cb-f58e-43d1-80b7-3a35bfb488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Goedkeurd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Antwoorden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Goedkeuring auteu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Goedkeuringsstatus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2612a0-a673-463d-ae7c-03c520b190d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1b7a9d5-ecef-465f-8e5f-2152768e3352}" ma:internalName="TaxCatchAll" ma:showField="CatchAllData" ma:web="0d2612a0-a673-463d-ae7c-03c520b190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2cb54b-f483-4fe9-aff6-6698c08f5773">
      <Terms xmlns="http://schemas.microsoft.com/office/infopath/2007/PartnerControls"/>
    </lcf76f155ced4ddcb4097134ff3c332f>
    <TaxCatchAll xmlns="0d2612a0-a673-463d-ae7c-03c520b190d6" xsi:nil="true"/>
    <_ApprovalAssignedTo xmlns="6c2cb54b-f483-4fe9-aff6-6698c08f5773">
      <UserInfo>
        <DisplayName/>
        <AccountId xsi:nil="true"/>
        <AccountType/>
      </UserInfo>
    </_ApprovalAssignedTo>
    <_ApprovalSentBy xmlns="6c2cb54b-f483-4fe9-aff6-6698c08f5773">
      <UserInfo>
        <DisplayName/>
        <AccountId xsi:nil="true"/>
        <AccountType/>
      </UserInfo>
    </_ApprovalSentBy>
    <_ApprovalStatus xmlns="6c2cb54b-f483-4fe9-aff6-6698c08f5773">0</_ApprovalStatus>
    <_ApprovalRespondedBy xmlns="6c2cb54b-f483-4fe9-aff6-6698c08f5773">
      <UserInfo>
        <DisplayName/>
        <AccountId xsi:nil="true"/>
        <AccountType/>
      </UserInfo>
    </_ApprovalRespondedBy>
  </documentManagement>
</p:properties>
</file>

<file path=customXml/itemProps1.xml><?xml version="1.0" encoding="utf-8"?>
<ds:datastoreItem xmlns:ds="http://schemas.openxmlformats.org/officeDocument/2006/customXml" ds:itemID="{B9C57909-BDE9-4302-8BE2-CABF8F4650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21DA5C-5B40-485D-B6DD-9516A97CEC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2cb54b-f483-4fe9-aff6-6698c08f5773"/>
    <ds:schemaRef ds:uri="0d2612a0-a673-463d-ae7c-03c520b190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97DFDB7-F27F-406B-AD04-4F42AECE9010}">
  <ds:schemaRefs>
    <ds:schemaRef ds:uri="http://schemas.microsoft.com/office/2006/metadata/properties"/>
    <ds:schemaRef ds:uri="http://schemas.microsoft.com/office/infopath/2007/PartnerControls"/>
    <ds:schemaRef ds:uri="6c2cb54b-f483-4fe9-aff6-6698c08f5773"/>
    <ds:schemaRef ds:uri="0d2612a0-a673-463d-ae7c-03c520b190d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W&amp;V prognose</vt:lpstr>
      <vt:lpstr>W&amp;V</vt:lpstr>
      <vt:lpstr>Balans</vt:lpstr>
      <vt:lpstr>Klanten</vt:lpstr>
      <vt:lpstr>Leveranciers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Sanne Schönberger</dc:creator>
  <cp:keywords/>
  <dc:description/>
  <cp:lastModifiedBy>Bram Verhagen</cp:lastModifiedBy>
  <cp:revision/>
  <dcterms:created xsi:type="dcterms:W3CDTF">2021-05-06T09:54:06Z</dcterms:created>
  <dcterms:modified xsi:type="dcterms:W3CDTF">2026-03-23T15:33:13Z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0x010100619469099ACCE24281BFE895D25D2E02</vt:lpwstr>
  </property>
  <property fmtid="{D5CDD505-2E9C-101B-9397-08002B2CF9AE}" pid="3" name="Order">
    <vt:r8>100</vt:r8>
  </property>
  <property fmtid="{D5CDD505-2E9C-101B-9397-08002B2CF9AE}" pid="4" name="MediaServiceImageTags">
    <vt:lpwstr/>
  </property>
</Properties>
</file>