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oederer-my.sharepoint.com/personal/b_verhagen_crowefoederer_nl/Documents/Documents/Tatoma/Claude/"/>
    </mc:Choice>
  </mc:AlternateContent>
  <xr:revisionPtr revIDLastSave="25" documentId="10_ncr:100000_{4750395E-A4D2-46C7-8A15-A2C2CD69C1BD}" xr6:coauthVersionLast="47" xr6:coauthVersionMax="47" xr10:uidLastSave="{E71B5325-A1B9-492E-AEF7-41EF627784A1}"/>
  <bookViews>
    <workbookView xWindow="-120" yWindow="-120" windowWidth="29040" windowHeight="15720" xr2:uid="{4B514874-6560-414A-BE88-327E72FD3AE9}"/>
  </bookViews>
  <sheets>
    <sheet name="Prognose " sheetId="4" r:id="rId1"/>
    <sheet name="WACC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1" i="4" l="1"/>
  <c r="G56" i="4"/>
  <c r="G31" i="4"/>
  <c r="J24" i="4"/>
  <c r="G24" i="4"/>
  <c r="H16" i="4"/>
  <c r="K207" i="4"/>
  <c r="J207" i="4"/>
  <c r="I207" i="4"/>
  <c r="H207" i="4"/>
  <c r="G207" i="4"/>
  <c r="F207" i="4"/>
  <c r="K189" i="4"/>
  <c r="J189" i="4"/>
  <c r="I189" i="4"/>
  <c r="H189" i="4"/>
  <c r="G189" i="4"/>
  <c r="F189" i="4"/>
  <c r="K150" i="4"/>
  <c r="J150" i="4"/>
  <c r="I150" i="4"/>
  <c r="H150" i="4"/>
  <c r="G150" i="4"/>
  <c r="F150" i="4"/>
  <c r="K132" i="4"/>
  <c r="F132" i="4"/>
  <c r="G132" i="4"/>
  <c r="H132" i="4"/>
  <c r="I132" i="4"/>
  <c r="J132" i="4"/>
  <c r="E132" i="4"/>
  <c r="D132" i="4"/>
  <c r="C132" i="4"/>
  <c r="C91" i="4"/>
  <c r="D91" i="4"/>
  <c r="E91" i="4"/>
  <c r="F91" i="4"/>
  <c r="G91" i="4"/>
  <c r="H91" i="4"/>
  <c r="I91" i="4"/>
  <c r="J91" i="4"/>
  <c r="K91" i="4"/>
  <c r="E88" i="4"/>
  <c r="D88" i="4"/>
  <c r="C88" i="4"/>
  <c r="K174" i="4"/>
  <c r="J174" i="4"/>
  <c r="I174" i="4"/>
  <c r="H174" i="4"/>
  <c r="G174" i="4"/>
  <c r="F174" i="4"/>
  <c r="D226" i="4"/>
  <c r="D29" i="5"/>
  <c r="H28" i="5"/>
  <c r="H27" i="5"/>
  <c r="H26" i="5"/>
  <c r="H25" i="5"/>
  <c r="H24" i="5"/>
  <c r="H23" i="5"/>
  <c r="H22" i="5"/>
  <c r="H21" i="5"/>
  <c r="K173" i="4"/>
  <c r="K160" i="4"/>
  <c r="K155" i="4"/>
  <c r="K151" i="4"/>
  <c r="K144" i="4"/>
  <c r="K137" i="4"/>
  <c r="K135" i="4"/>
  <c r="K133" i="4"/>
  <c r="K136" i="4"/>
  <c r="K92" i="4"/>
  <c r="K47" i="4"/>
  <c r="K18" i="4"/>
  <c r="K11" i="4"/>
  <c r="F209" i="4"/>
  <c r="G209" i="4" s="1"/>
  <c r="H29" i="5" l="1"/>
  <c r="D9" i="5" s="1"/>
  <c r="D11" i="5" s="1"/>
  <c r="C203" i="4" s="1"/>
  <c r="C204" i="4" s="1"/>
  <c r="G211" i="4"/>
  <c r="H209" i="4"/>
  <c r="F211" i="4"/>
  <c r="C217" i="4"/>
  <c r="I209" i="4" l="1"/>
  <c r="H211" i="4"/>
  <c r="I211" i="4" l="1"/>
  <c r="J209" i="4"/>
  <c r="K209" i="4" s="1"/>
  <c r="K211" i="4" s="1"/>
  <c r="J211" i="4" l="1"/>
  <c r="C219" i="4" l="1"/>
  <c r="E89" i="4" l="1"/>
  <c r="D89" i="4"/>
  <c r="E119" i="4" l="1"/>
  <c r="C229" i="4" s="1"/>
  <c r="D119" i="4"/>
  <c r="C119" i="4"/>
  <c r="D231" i="4" s="1"/>
  <c r="D233" i="4" s="1"/>
  <c r="D239" i="4" s="1"/>
  <c r="E63" i="4"/>
  <c r="D63" i="4"/>
  <c r="C75" i="4"/>
  <c r="D75" i="4"/>
  <c r="E75" i="4"/>
  <c r="D69" i="4"/>
  <c r="E69" i="4"/>
  <c r="D55" i="4"/>
  <c r="E55" i="4"/>
  <c r="C51" i="4"/>
  <c r="D51" i="4"/>
  <c r="E51" i="4"/>
  <c r="E50" i="4"/>
  <c r="D50" i="4"/>
  <c r="D7" i="4"/>
  <c r="E7" i="4"/>
  <c r="C10" i="4"/>
  <c r="C52" i="4" s="1"/>
  <c r="C11" i="4" s="1"/>
  <c r="C19" i="4"/>
  <c r="C29" i="4"/>
  <c r="C47" i="4"/>
  <c r="C56" i="4"/>
  <c r="C57" i="4"/>
  <c r="C58" i="4"/>
  <c r="C59" i="4"/>
  <c r="C60" i="4"/>
  <c r="C65" i="4"/>
  <c r="C66" i="4" s="1"/>
  <c r="C70" i="4"/>
  <c r="C71" i="4"/>
  <c r="C72" i="4"/>
  <c r="C73" i="4"/>
  <c r="C74" i="4"/>
  <c r="C76" i="4"/>
  <c r="C83" i="4"/>
  <c r="C84" i="4"/>
  <c r="C85" i="4"/>
  <c r="C86" i="4"/>
  <c r="C92" i="4"/>
  <c r="C96" i="4"/>
  <c r="C103" i="4"/>
  <c r="C112" i="4"/>
  <c r="C115" i="4"/>
  <c r="C127" i="4"/>
  <c r="C133" i="4"/>
  <c r="C134" i="4"/>
  <c r="C135" i="4"/>
  <c r="C136" i="4"/>
  <c r="C137" i="4"/>
  <c r="C140" i="4"/>
  <c r="C141" i="4"/>
  <c r="C142" i="4"/>
  <c r="C143" i="4"/>
  <c r="C87" i="4" s="1"/>
  <c r="C144" i="4"/>
  <c r="C145" i="4"/>
  <c r="D10" i="4"/>
  <c r="D52" i="4" s="1"/>
  <c r="D11" i="4" s="1"/>
  <c r="D19" i="4"/>
  <c r="D29" i="4"/>
  <c r="D47" i="4"/>
  <c r="D56" i="4"/>
  <c r="D57" i="4"/>
  <c r="D58" i="4"/>
  <c r="D59" i="4"/>
  <c r="D60" i="4"/>
  <c r="D65" i="4"/>
  <c r="D66" i="4" s="1"/>
  <c r="D70" i="4"/>
  <c r="D71" i="4"/>
  <c r="D72" i="4"/>
  <c r="D73" i="4"/>
  <c r="D74" i="4"/>
  <c r="D76" i="4"/>
  <c r="D83" i="4"/>
  <c r="D84" i="4"/>
  <c r="D85" i="4"/>
  <c r="D86" i="4"/>
  <c r="D92" i="4"/>
  <c r="D96" i="4"/>
  <c r="D103" i="4"/>
  <c r="D112" i="4"/>
  <c r="D115" i="4"/>
  <c r="D127" i="4"/>
  <c r="D133" i="4"/>
  <c r="D134" i="4"/>
  <c r="D135" i="4"/>
  <c r="D136" i="4"/>
  <c r="D137" i="4"/>
  <c r="D140" i="4"/>
  <c r="D141" i="4"/>
  <c r="D142" i="4"/>
  <c r="D143" i="4"/>
  <c r="D87" i="4" s="1"/>
  <c r="D144" i="4"/>
  <c r="D145" i="4"/>
  <c r="C31" i="4" l="1"/>
  <c r="D31" i="4"/>
  <c r="D138" i="4"/>
  <c r="D33" i="4"/>
  <c r="D34" i="4" s="1"/>
  <c r="D64" i="4"/>
  <c r="D129" i="4"/>
  <c r="C146" i="4"/>
  <c r="D146" i="4"/>
  <c r="D148" i="4" s="1"/>
  <c r="C129" i="4"/>
  <c r="C107" i="4"/>
  <c r="D107" i="4"/>
  <c r="C138" i="4"/>
  <c r="C148" i="4" s="1"/>
  <c r="C33" i="4"/>
  <c r="C34" i="4" s="1"/>
  <c r="G18" i="4"/>
  <c r="H18" i="4"/>
  <c r="I18" i="4"/>
  <c r="J18" i="4"/>
  <c r="F18" i="4"/>
  <c r="D38" i="4" l="1"/>
  <c r="C38" i="4"/>
  <c r="C43" i="4" s="1"/>
  <c r="C44" i="4" s="1"/>
  <c r="C130" i="4"/>
  <c r="D130" i="4"/>
  <c r="D39" i="4"/>
  <c r="D43" i="4"/>
  <c r="D44" i="4" s="1"/>
  <c r="E85" i="4"/>
  <c r="F184" i="4"/>
  <c r="J151" i="4"/>
  <c r="I151" i="4"/>
  <c r="H151" i="4"/>
  <c r="G151" i="4"/>
  <c r="F151" i="4"/>
  <c r="A151" i="4"/>
  <c r="E145" i="4"/>
  <c r="A145" i="4"/>
  <c r="E144" i="4"/>
  <c r="A144" i="4"/>
  <c r="E143" i="4"/>
  <c r="A143" i="4"/>
  <c r="E142" i="4"/>
  <c r="A142" i="4"/>
  <c r="E141" i="4"/>
  <c r="A141" i="4"/>
  <c r="E140" i="4"/>
  <c r="A140" i="4"/>
  <c r="E137" i="4"/>
  <c r="A137" i="4"/>
  <c r="F136" i="4"/>
  <c r="E136" i="4"/>
  <c r="A136" i="4"/>
  <c r="F135" i="4"/>
  <c r="E135" i="4"/>
  <c r="A135" i="4"/>
  <c r="E134" i="4"/>
  <c r="A134" i="4"/>
  <c r="E133" i="4"/>
  <c r="A133" i="4"/>
  <c r="E127" i="4"/>
  <c r="F126" i="4"/>
  <c r="F118" i="4"/>
  <c r="E115" i="4"/>
  <c r="E112" i="4"/>
  <c r="F110" i="4"/>
  <c r="F109" i="4"/>
  <c r="G109" i="4" s="1"/>
  <c r="E103" i="4"/>
  <c r="G135" i="4"/>
  <c r="F133" i="4"/>
  <c r="E96" i="4"/>
  <c r="F173" i="4"/>
  <c r="J92" i="4"/>
  <c r="I92" i="4"/>
  <c r="H92" i="4"/>
  <c r="G92" i="4"/>
  <c r="F92" i="4"/>
  <c r="E92" i="4"/>
  <c r="E87" i="4"/>
  <c r="E86" i="4"/>
  <c r="E84" i="4"/>
  <c r="E83" i="4"/>
  <c r="E76" i="4"/>
  <c r="E74" i="4"/>
  <c r="E73" i="4"/>
  <c r="E72" i="4"/>
  <c r="E71" i="4"/>
  <c r="E70" i="4"/>
  <c r="E65" i="4"/>
  <c r="E64" i="4" s="1"/>
  <c r="F62" i="4"/>
  <c r="G62" i="4" s="1"/>
  <c r="H62" i="4" s="1"/>
  <c r="I62" i="4" s="1"/>
  <c r="J62" i="4" s="1"/>
  <c r="K62" i="4" s="1"/>
  <c r="E60" i="4"/>
  <c r="E59" i="4"/>
  <c r="E58" i="4"/>
  <c r="E57" i="4"/>
  <c r="E56" i="4"/>
  <c r="J47" i="4"/>
  <c r="I47" i="4"/>
  <c r="H47" i="4"/>
  <c r="G47" i="4"/>
  <c r="F47" i="4"/>
  <c r="E47" i="4"/>
  <c r="F41" i="4"/>
  <c r="F37" i="4"/>
  <c r="F195" i="4" s="1"/>
  <c r="F94" i="4"/>
  <c r="E29" i="4"/>
  <c r="F22" i="4"/>
  <c r="G22" i="4" s="1"/>
  <c r="H22" i="4" s="1"/>
  <c r="I22" i="4" s="1"/>
  <c r="E19" i="4"/>
  <c r="J11" i="4"/>
  <c r="I11" i="4"/>
  <c r="H11" i="4"/>
  <c r="G11" i="4"/>
  <c r="F11" i="4"/>
  <c r="E10" i="4"/>
  <c r="E52" i="4" s="1"/>
  <c r="E11" i="4" s="1"/>
  <c r="F6" i="4"/>
  <c r="G94" i="4" l="1"/>
  <c r="F175" i="4"/>
  <c r="F198" i="4" s="1"/>
  <c r="G37" i="4"/>
  <c r="G195" i="4" s="1"/>
  <c r="F155" i="4"/>
  <c r="F96" i="4"/>
  <c r="G118" i="4"/>
  <c r="G119" i="4" s="1"/>
  <c r="F119" i="4"/>
  <c r="F179" i="4" s="1"/>
  <c r="F180" i="4" s="1"/>
  <c r="C39" i="4"/>
  <c r="G155" i="4"/>
  <c r="F65" i="4"/>
  <c r="G65" i="4" s="1"/>
  <c r="H65" i="4" s="1"/>
  <c r="I65" i="4" s="1"/>
  <c r="J65" i="4" s="1"/>
  <c r="K65" i="4" s="1"/>
  <c r="K66" i="4" s="1"/>
  <c r="K14" i="4" s="1"/>
  <c r="E66" i="4"/>
  <c r="E31" i="4"/>
  <c r="E33" i="4" s="1"/>
  <c r="F9" i="4"/>
  <c r="F122" i="4" s="1"/>
  <c r="F141" i="4" s="1"/>
  <c r="E129" i="4"/>
  <c r="E107" i="4"/>
  <c r="H136" i="4"/>
  <c r="H135" i="4"/>
  <c r="F114" i="4"/>
  <c r="F99" i="4"/>
  <c r="F27" i="4"/>
  <c r="F23" i="4"/>
  <c r="J22" i="4"/>
  <c r="K22" i="4" s="1"/>
  <c r="F24" i="4"/>
  <c r="F26" i="4"/>
  <c r="H118" i="4"/>
  <c r="H119" i="4" s="1"/>
  <c r="G126" i="4"/>
  <c r="F145" i="4"/>
  <c r="G136" i="4"/>
  <c r="G173" i="4"/>
  <c r="G6" i="4"/>
  <c r="F7" i="4"/>
  <c r="F160" i="4"/>
  <c r="H109" i="4"/>
  <c r="F144" i="4"/>
  <c r="E138" i="4"/>
  <c r="F167" i="4"/>
  <c r="G41" i="4"/>
  <c r="F124" i="4"/>
  <c r="F143" i="4" s="1"/>
  <c r="E146" i="4"/>
  <c r="K17" i="4" l="1"/>
  <c r="K16" i="4"/>
  <c r="K123" i="4"/>
  <c r="K142" i="4" s="1"/>
  <c r="K25" i="4"/>
  <c r="K15" i="4"/>
  <c r="K19" i="4" s="1"/>
  <c r="G175" i="4"/>
  <c r="G198" i="4" s="1"/>
  <c r="H94" i="4"/>
  <c r="H96" i="4" s="1"/>
  <c r="G96" i="4"/>
  <c r="F176" i="4"/>
  <c r="H37" i="4"/>
  <c r="H195" i="4" s="1"/>
  <c r="E130" i="4"/>
  <c r="F66" i="4"/>
  <c r="F14" i="4" s="1"/>
  <c r="F123" i="4" s="1"/>
  <c r="F142" i="4" s="1"/>
  <c r="F51" i="4"/>
  <c r="F10" i="4"/>
  <c r="G26" i="4"/>
  <c r="G144" i="4"/>
  <c r="G7" i="4"/>
  <c r="H6" i="4"/>
  <c r="G114" i="4"/>
  <c r="G23" i="4"/>
  <c r="G99" i="4"/>
  <c r="G134" i="4" s="1"/>
  <c r="G27" i="4"/>
  <c r="G124" i="4"/>
  <c r="G143" i="4" s="1"/>
  <c r="G9" i="4"/>
  <c r="G145" i="4"/>
  <c r="H126" i="4"/>
  <c r="E38" i="4"/>
  <c r="E34" i="4"/>
  <c r="J136" i="4"/>
  <c r="I136" i="4"/>
  <c r="G167" i="4"/>
  <c r="H41" i="4"/>
  <c r="I109" i="4"/>
  <c r="I173" i="4"/>
  <c r="I118" i="4"/>
  <c r="I119" i="4" s="1"/>
  <c r="H179" i="4"/>
  <c r="H180" i="4" s="1"/>
  <c r="F134" i="4"/>
  <c r="F103" i="4"/>
  <c r="G179" i="4"/>
  <c r="G180" i="4" s="1"/>
  <c r="H173" i="4"/>
  <c r="E148" i="4"/>
  <c r="G160" i="4"/>
  <c r="G133" i="4"/>
  <c r="F137" i="4"/>
  <c r="F157" i="4"/>
  <c r="F158" i="4" s="1"/>
  <c r="F115" i="4"/>
  <c r="J135" i="4"/>
  <c r="I135" i="4"/>
  <c r="G176" i="4" l="1"/>
  <c r="H175" i="4"/>
  <c r="H198" i="4" s="1"/>
  <c r="I94" i="4"/>
  <c r="I96" i="4" s="1"/>
  <c r="I37" i="4"/>
  <c r="I195" i="4" s="1"/>
  <c r="H155" i="4"/>
  <c r="F16" i="4"/>
  <c r="F25" i="4"/>
  <c r="F76" i="4" s="1"/>
  <c r="F17" i="4"/>
  <c r="F56" i="4"/>
  <c r="F55" i="4"/>
  <c r="F15" i="4"/>
  <c r="F19" i="4" s="1"/>
  <c r="F138" i="4"/>
  <c r="J109" i="4"/>
  <c r="K109" i="4" s="1"/>
  <c r="G122" i="4"/>
  <c r="G51" i="4"/>
  <c r="G10" i="4"/>
  <c r="H144" i="4"/>
  <c r="H124" i="4"/>
  <c r="H143" i="4" s="1"/>
  <c r="H99" i="4"/>
  <c r="H134" i="4" s="1"/>
  <c r="H114" i="4"/>
  <c r="H24" i="4"/>
  <c r="H23" i="4"/>
  <c r="I6" i="4"/>
  <c r="H27" i="4"/>
  <c r="H26" i="4"/>
  <c r="H9" i="4"/>
  <c r="H7" i="4"/>
  <c r="H160" i="4"/>
  <c r="H133" i="4"/>
  <c r="H167" i="4"/>
  <c r="I41" i="4"/>
  <c r="I179" i="4"/>
  <c r="I180" i="4" s="1"/>
  <c r="J118" i="4"/>
  <c r="K118" i="4" s="1"/>
  <c r="K119" i="4" s="1"/>
  <c r="H145" i="4"/>
  <c r="I126" i="4"/>
  <c r="G137" i="4"/>
  <c r="G138" i="4" s="1"/>
  <c r="G103" i="4"/>
  <c r="J173" i="4"/>
  <c r="E43" i="4"/>
  <c r="E44" i="4" s="1"/>
  <c r="E39" i="4"/>
  <c r="G157" i="4"/>
  <c r="G158" i="4" s="1"/>
  <c r="G115" i="4"/>
  <c r="J94" i="4" l="1"/>
  <c r="I175" i="4"/>
  <c r="I198" i="4" s="1"/>
  <c r="H176" i="4"/>
  <c r="J37" i="4"/>
  <c r="J155" i="4"/>
  <c r="I155" i="4"/>
  <c r="J119" i="4"/>
  <c r="F75" i="4"/>
  <c r="F29" i="4"/>
  <c r="F31" i="4" s="1"/>
  <c r="F33" i="4" s="1"/>
  <c r="F38" i="4" s="1"/>
  <c r="H122" i="4"/>
  <c r="H51" i="4"/>
  <c r="I145" i="4"/>
  <c r="J126" i="4"/>
  <c r="H103" i="4"/>
  <c r="G141" i="4"/>
  <c r="H137" i="4"/>
  <c r="H138" i="4" s="1"/>
  <c r="H161" i="4" s="1"/>
  <c r="H10" i="4"/>
  <c r="G161" i="4"/>
  <c r="F161" i="4"/>
  <c r="J41" i="4"/>
  <c r="I167" i="4"/>
  <c r="I133" i="4"/>
  <c r="I160" i="4"/>
  <c r="I124" i="4"/>
  <c r="I143" i="4" s="1"/>
  <c r="I144" i="4"/>
  <c r="I114" i="4"/>
  <c r="I24" i="4"/>
  <c r="I27" i="4"/>
  <c r="I26" i="4"/>
  <c r="I23" i="4"/>
  <c r="I99" i="4"/>
  <c r="I134" i="4" s="1"/>
  <c r="I9" i="4"/>
  <c r="I10" i="4" s="1"/>
  <c r="I7" i="4"/>
  <c r="J6" i="4"/>
  <c r="K6" i="4" s="1"/>
  <c r="H115" i="4"/>
  <c r="H157" i="4"/>
  <c r="H158" i="4" s="1"/>
  <c r="K99" i="4" l="1"/>
  <c r="K124" i="4"/>
  <c r="K143" i="4" s="1"/>
  <c r="K114" i="4"/>
  <c r="K26" i="4"/>
  <c r="K24" i="4"/>
  <c r="K7" i="4"/>
  <c r="K9" i="4"/>
  <c r="K23" i="4"/>
  <c r="K27" i="4"/>
  <c r="K10" i="4"/>
  <c r="K56" i="4"/>
  <c r="J167" i="4"/>
  <c r="K41" i="4"/>
  <c r="K167" i="4" s="1"/>
  <c r="J145" i="4"/>
  <c r="K126" i="4"/>
  <c r="K145" i="4" s="1"/>
  <c r="J179" i="4"/>
  <c r="J180" i="4" s="1"/>
  <c r="K179" i="4"/>
  <c r="K180" i="4" s="1"/>
  <c r="J195" i="4"/>
  <c r="K37" i="4"/>
  <c r="K195" i="4" s="1"/>
  <c r="F153" i="4"/>
  <c r="F191" i="4"/>
  <c r="F193" i="4" s="1"/>
  <c r="F196" i="4" s="1"/>
  <c r="K94" i="4"/>
  <c r="J175" i="4"/>
  <c r="J198" i="4" s="1"/>
  <c r="J96" i="4"/>
  <c r="I176" i="4"/>
  <c r="F34" i="4"/>
  <c r="F39" i="4"/>
  <c r="F42" i="4"/>
  <c r="F121" i="4" s="1"/>
  <c r="J114" i="4"/>
  <c r="J99" i="4"/>
  <c r="J134" i="4" s="1"/>
  <c r="J27" i="4"/>
  <c r="J23" i="4"/>
  <c r="J9" i="4"/>
  <c r="J10" i="4" s="1"/>
  <c r="J7" i="4"/>
  <c r="J124" i="4"/>
  <c r="J143" i="4" s="1"/>
  <c r="J144" i="4"/>
  <c r="J26" i="4"/>
  <c r="H141" i="4"/>
  <c r="I137" i="4"/>
  <c r="I138" i="4" s="1"/>
  <c r="J137" i="4"/>
  <c r="I157" i="4"/>
  <c r="I158" i="4" s="1"/>
  <c r="I115" i="4"/>
  <c r="J133" i="4"/>
  <c r="J160" i="4"/>
  <c r="I122" i="4"/>
  <c r="I51" i="4"/>
  <c r="I103" i="4"/>
  <c r="F140" i="4" l="1"/>
  <c r="F146" i="4" s="1"/>
  <c r="F127" i="4"/>
  <c r="K29" i="4"/>
  <c r="K31" i="4" s="1"/>
  <c r="K33" i="4" s="1"/>
  <c r="K76" i="4"/>
  <c r="K122" i="4"/>
  <c r="K141" i="4" s="1"/>
  <c r="K51" i="4"/>
  <c r="K115" i="4"/>
  <c r="K157" i="4"/>
  <c r="K158" i="4" s="1"/>
  <c r="K134" i="4"/>
  <c r="K138" i="4" s="1"/>
  <c r="K103" i="4"/>
  <c r="F168" i="4"/>
  <c r="F169" i="4" s="1"/>
  <c r="F192" i="4"/>
  <c r="K175" i="4"/>
  <c r="K96" i="4"/>
  <c r="J176" i="4"/>
  <c r="J138" i="4"/>
  <c r="F43" i="4"/>
  <c r="F44" i="4" s="1"/>
  <c r="I161" i="4"/>
  <c r="I141" i="4"/>
  <c r="J51" i="4"/>
  <c r="J122" i="4"/>
  <c r="J157" i="4"/>
  <c r="J158" i="4" s="1"/>
  <c r="J115" i="4"/>
  <c r="J103" i="4"/>
  <c r="K34" i="4" l="1"/>
  <c r="K38" i="4"/>
  <c r="F162" i="4"/>
  <c r="F163" i="4" s="1"/>
  <c r="F148" i="4"/>
  <c r="K198" i="4"/>
  <c r="K176" i="4"/>
  <c r="J161" i="4"/>
  <c r="K161" i="4"/>
  <c r="F111" i="4"/>
  <c r="F112" i="4" s="1"/>
  <c r="F129" i="4" s="1"/>
  <c r="J141" i="4"/>
  <c r="F199" i="4" l="1"/>
  <c r="F200" i="4" s="1"/>
  <c r="F165" i="4"/>
  <c r="F182" i="4" s="1"/>
  <c r="F185" i="4" s="1"/>
  <c r="F186" i="4" s="1"/>
  <c r="F105" i="4" s="1"/>
  <c r="K191" i="4"/>
  <c r="K193" i="4" s="1"/>
  <c r="K196" i="4" s="1"/>
  <c r="K39" i="4"/>
  <c r="K153" i="4"/>
  <c r="K42" i="4"/>
  <c r="G110" i="4"/>
  <c r="J66" i="4"/>
  <c r="J14" i="4" s="1"/>
  <c r="K55" i="4" s="1"/>
  <c r="H66" i="4"/>
  <c r="H14" i="4" s="1"/>
  <c r="I66" i="4"/>
  <c r="I14" i="4" s="1"/>
  <c r="G66" i="4"/>
  <c r="G14" i="4" s="1"/>
  <c r="K168" i="4" l="1"/>
  <c r="K169" i="4" s="1"/>
  <c r="K121" i="4"/>
  <c r="K192" i="4"/>
  <c r="K43" i="4"/>
  <c r="F107" i="4"/>
  <c r="F130" i="4" s="1"/>
  <c r="G184" i="4"/>
  <c r="F210" i="4"/>
  <c r="F212" i="4"/>
  <c r="H56" i="4"/>
  <c r="H17" i="4"/>
  <c r="H15" i="4"/>
  <c r="J55" i="4"/>
  <c r="J15" i="4"/>
  <c r="J56" i="4"/>
  <c r="J123" i="4"/>
  <c r="J17" i="4"/>
  <c r="J16" i="4"/>
  <c r="J25" i="4"/>
  <c r="K75" i="4" s="1"/>
  <c r="I16" i="4"/>
  <c r="I123" i="4"/>
  <c r="I17" i="4"/>
  <c r="I56" i="4"/>
  <c r="I15" i="4"/>
  <c r="I55" i="4"/>
  <c r="I25" i="4"/>
  <c r="H25" i="4"/>
  <c r="H19" i="4"/>
  <c r="G17" i="4"/>
  <c r="G16" i="4"/>
  <c r="H123" i="4"/>
  <c r="H55" i="4"/>
  <c r="G55" i="4"/>
  <c r="G15" i="4"/>
  <c r="G123" i="4"/>
  <c r="G25" i="4"/>
  <c r="K111" i="4" l="1"/>
  <c r="K44" i="4"/>
  <c r="K140" i="4"/>
  <c r="K146" i="4" s="1"/>
  <c r="K148" i="4" s="1"/>
  <c r="K127" i="4"/>
  <c r="I19" i="4"/>
  <c r="G76" i="4"/>
  <c r="G75" i="4"/>
  <c r="G29" i="4"/>
  <c r="H142" i="4"/>
  <c r="J142" i="4"/>
  <c r="G142" i="4"/>
  <c r="J76" i="4"/>
  <c r="J29" i="4"/>
  <c r="J75" i="4"/>
  <c r="H76" i="4"/>
  <c r="H29" i="4"/>
  <c r="H31" i="4" s="1"/>
  <c r="H33" i="4" s="1"/>
  <c r="H75" i="4"/>
  <c r="G19" i="4"/>
  <c r="I29" i="4"/>
  <c r="I76" i="4"/>
  <c r="I75" i="4"/>
  <c r="I142" i="4"/>
  <c r="J19" i="4"/>
  <c r="I31" i="4" l="1"/>
  <c r="I33" i="4" s="1"/>
  <c r="I38" i="4" s="1"/>
  <c r="I191" i="4" s="1"/>
  <c r="J31" i="4"/>
  <c r="J33" i="4" s="1"/>
  <c r="J38" i="4" s="1"/>
  <c r="J191" i="4" s="1"/>
  <c r="G33" i="4"/>
  <c r="G34" i="4" s="1"/>
  <c r="H38" i="4"/>
  <c r="H191" i="4" s="1"/>
  <c r="H193" i="4" s="1"/>
  <c r="H196" i="4" s="1"/>
  <c r="H34" i="4"/>
  <c r="G38" i="4" l="1"/>
  <c r="I34" i="4"/>
  <c r="J34" i="4"/>
  <c r="I39" i="4"/>
  <c r="I42" i="4"/>
  <c r="I153" i="4"/>
  <c r="J42" i="4"/>
  <c r="J153" i="4"/>
  <c r="J39" i="4"/>
  <c r="H153" i="4"/>
  <c r="H42" i="4"/>
  <c r="H39" i="4"/>
  <c r="H168" i="4" l="1"/>
  <c r="H121" i="4"/>
  <c r="H192" i="4"/>
  <c r="J168" i="4"/>
  <c r="J169" i="4" s="1"/>
  <c r="J121" i="4"/>
  <c r="J192" i="4"/>
  <c r="I168" i="4"/>
  <c r="I121" i="4"/>
  <c r="I192" i="4"/>
  <c r="G39" i="4"/>
  <c r="G191" i="4"/>
  <c r="G193" i="4" s="1"/>
  <c r="G196" i="4" s="1"/>
  <c r="H169" i="4"/>
  <c r="J193" i="4"/>
  <c r="J196" i="4" s="1"/>
  <c r="I169" i="4"/>
  <c r="G153" i="4"/>
  <c r="G42" i="4"/>
  <c r="H43" i="4"/>
  <c r="H111" i="4" s="1"/>
  <c r="I43" i="4"/>
  <c r="J43" i="4"/>
  <c r="G168" i="4" l="1"/>
  <c r="G121" i="4"/>
  <c r="G192" i="4"/>
  <c r="I140" i="4"/>
  <c r="I146" i="4" s="1"/>
  <c r="I127" i="4"/>
  <c r="J140" i="4"/>
  <c r="J146" i="4" s="1"/>
  <c r="J127" i="4"/>
  <c r="H140" i="4"/>
  <c r="H146" i="4" s="1"/>
  <c r="H127" i="4"/>
  <c r="G169" i="4"/>
  <c r="I193" i="4"/>
  <c r="I196" i="4" s="1"/>
  <c r="G43" i="4"/>
  <c r="G111" i="4" s="1"/>
  <c r="H44" i="4"/>
  <c r="J44" i="4"/>
  <c r="J111" i="4"/>
  <c r="I111" i="4"/>
  <c r="I44" i="4"/>
  <c r="H148" i="4" l="1"/>
  <c r="K162" i="4"/>
  <c r="K163" i="4" s="1"/>
  <c r="J148" i="4"/>
  <c r="J162" i="4"/>
  <c r="J163" i="4" s="1"/>
  <c r="I162" i="4"/>
  <c r="I163" i="4" s="1"/>
  <c r="I148" i="4"/>
  <c r="G140" i="4"/>
  <c r="G146" i="4" s="1"/>
  <c r="G127" i="4"/>
  <c r="G44" i="4"/>
  <c r="G112" i="4"/>
  <c r="G129" i="4" s="1"/>
  <c r="H110" i="4"/>
  <c r="G148" i="4" l="1"/>
  <c r="G162" i="4"/>
  <c r="G163" i="4" s="1"/>
  <c r="H162" i="4"/>
  <c r="H163" i="4" s="1"/>
  <c r="I199" i="4"/>
  <c r="I200" i="4" s="1"/>
  <c r="I165" i="4"/>
  <c r="I171" i="4" s="1"/>
  <c r="I182" i="4" s="1"/>
  <c r="I185" i="4" s="1"/>
  <c r="J199" i="4"/>
  <c r="J200" i="4" s="1"/>
  <c r="J165" i="4"/>
  <c r="J171" i="4" s="1"/>
  <c r="J182" i="4" s="1"/>
  <c r="J185" i="4" s="1"/>
  <c r="K165" i="4"/>
  <c r="K171" i="4" s="1"/>
  <c r="K182" i="4" s="1"/>
  <c r="K185" i="4" s="1"/>
  <c r="K199" i="4"/>
  <c r="K200" i="4" s="1"/>
  <c r="H112" i="4"/>
  <c r="H129" i="4" s="1"/>
  <c r="I110" i="4"/>
  <c r="K210" i="4" l="1"/>
  <c r="K212" i="4"/>
  <c r="C216" i="4" s="1"/>
  <c r="C218" i="4" s="1"/>
  <c r="D220" i="4" s="1"/>
  <c r="J210" i="4"/>
  <c r="J212" i="4"/>
  <c r="I210" i="4"/>
  <c r="I212" i="4"/>
  <c r="H199" i="4"/>
  <c r="H200" i="4" s="1"/>
  <c r="H165" i="4"/>
  <c r="H171" i="4" s="1"/>
  <c r="H182" i="4" s="1"/>
  <c r="H185" i="4" s="1"/>
  <c r="G199" i="4"/>
  <c r="G200" i="4" s="1"/>
  <c r="G165" i="4"/>
  <c r="G171" i="4" s="1"/>
  <c r="G182" i="4" s="1"/>
  <c r="G185" i="4" s="1"/>
  <c r="G186" i="4" s="1"/>
  <c r="G105" i="4" s="1"/>
  <c r="I112" i="4"/>
  <c r="I129" i="4" s="1"/>
  <c r="J110" i="4"/>
  <c r="G107" i="4" l="1"/>
  <c r="G130" i="4" s="1"/>
  <c r="H184" i="4"/>
  <c r="H186" i="4" s="1"/>
  <c r="H105" i="4" s="1"/>
  <c r="G210" i="4"/>
  <c r="G212" i="4"/>
  <c r="H212" i="4"/>
  <c r="D214" i="4" s="1"/>
  <c r="D221" i="4" s="1"/>
  <c r="D238" i="4" s="1"/>
  <c r="D240" i="4" s="1"/>
  <c r="H210" i="4"/>
  <c r="J112" i="4"/>
  <c r="J129" i="4" s="1"/>
  <c r="K110" i="4"/>
  <c r="K112" i="4" s="1"/>
  <c r="K129" i="4" s="1"/>
  <c r="I184" i="4" l="1"/>
  <c r="I186" i="4" s="1"/>
  <c r="I105" i="4" s="1"/>
  <c r="H107" i="4"/>
  <c r="H130" i="4" s="1"/>
  <c r="I107" i="4" l="1"/>
  <c r="I130" i="4" s="1"/>
  <c r="J184" i="4"/>
  <c r="J186" i="4" s="1"/>
  <c r="J105" i="4" s="1"/>
  <c r="J107" i="4" l="1"/>
  <c r="J130" i="4" s="1"/>
  <c r="K184" i="4"/>
  <c r="K186" i="4" s="1"/>
  <c r="K105" i="4" s="1"/>
  <c r="K107" i="4" s="1"/>
  <c r="K130" i="4" s="1"/>
</calcChain>
</file>

<file path=xl/sharedStrings.xml><?xml version="1.0" encoding="utf-8"?>
<sst xmlns="http://schemas.openxmlformats.org/spreadsheetml/2006/main" count="215" uniqueCount="190">
  <si>
    <t>WINST-EN-VERLIESREKENING</t>
  </si>
  <si>
    <t>(€000)</t>
  </si>
  <si>
    <t>LE</t>
  </si>
  <si>
    <t>Prognose</t>
  </si>
  <si>
    <t>Opmerkingen</t>
  </si>
  <si>
    <t>Netto omzet</t>
  </si>
  <si>
    <t>stijging/daling %</t>
  </si>
  <si>
    <t>Kostprijs omzet</t>
  </si>
  <si>
    <t>Bruto winst</t>
  </si>
  <si>
    <t>Bruto winst/omzet</t>
  </si>
  <si>
    <t>Personeelskosten</t>
  </si>
  <si>
    <t>Lonen en salarissen</t>
  </si>
  <si>
    <t>Sociale lasten</t>
  </si>
  <si>
    <t>Pensioenlasten</t>
  </si>
  <si>
    <t>Overige personeelskosten</t>
  </si>
  <si>
    <t>Managementfee</t>
  </si>
  <si>
    <t>Personeelskosten (totaal)</t>
  </si>
  <si>
    <t>Bedrijfskosten</t>
  </si>
  <si>
    <t>Huisvestingskosten</t>
  </si>
  <si>
    <t xml:space="preserve">Exploitatiekosten </t>
  </si>
  <si>
    <t>Kantoorkosten</t>
  </si>
  <si>
    <t>Autokosten</t>
  </si>
  <si>
    <t>Verkoopkosten</t>
  </si>
  <si>
    <t>Algemene kosten</t>
  </si>
  <si>
    <t>Buitengewone baten/lasten</t>
  </si>
  <si>
    <t>Bedrijfskosten (totaal)</t>
  </si>
  <si>
    <t>Totaal operationele kosten</t>
  </si>
  <si>
    <t>EBITDA</t>
  </si>
  <si>
    <t>EBITDA/omzet</t>
  </si>
  <si>
    <t>Afschrijvingen op MVA</t>
  </si>
  <si>
    <t>Afschrijvingen op IVA</t>
  </si>
  <si>
    <t>EBIT</t>
  </si>
  <si>
    <t>EBIT/omzet</t>
  </si>
  <si>
    <t>Rentelasten/baten</t>
  </si>
  <si>
    <t>Vennootschapsbelasting</t>
  </si>
  <si>
    <t>Netto resultaat na belastingen</t>
  </si>
  <si>
    <t>Ratios Prognose</t>
  </si>
  <si>
    <t>Omzet</t>
  </si>
  <si>
    <t>Groei  omzet in %</t>
  </si>
  <si>
    <t>Groei inkoopwaarde omzet in %</t>
  </si>
  <si>
    <t>Brutomarge</t>
  </si>
  <si>
    <t>Groei personeelskosten in %</t>
  </si>
  <si>
    <t>Lonen en salarissen als % vd omzet</t>
  </si>
  <si>
    <t>Sociale lasten als % vd loonkosten</t>
  </si>
  <si>
    <t>Pensioenkosten als % vd loonkosten</t>
  </si>
  <si>
    <t>Overige personeelskosten als % vd loonkosten</t>
  </si>
  <si>
    <t>Overige bedrijfskosten</t>
  </si>
  <si>
    <t>Groei huisvestingskosten in %</t>
  </si>
  <si>
    <t>Exploitatiekosten als % vd omzet</t>
  </si>
  <si>
    <t>Kantoorkosten als % vd omzet</t>
  </si>
  <si>
    <t>Verkoopkosten als % vd omzet</t>
  </si>
  <si>
    <t>Autokosten als % vd loonkosten</t>
  </si>
  <si>
    <t>Algemene kosten als % vd omzet</t>
  </si>
  <si>
    <t>Groei overige bedrijfslasten in %</t>
  </si>
  <si>
    <t>Overige bedrijfslasten in % van de omzet</t>
  </si>
  <si>
    <t>VPB tot (€000)</t>
  </si>
  <si>
    <t>VPB vanaf (€000)</t>
  </si>
  <si>
    <t>Compensabele verliezen  (€000)</t>
  </si>
  <si>
    <t>Balans</t>
  </si>
  <si>
    <t>Voorziening dubieuze debiteuren als % vd omzet</t>
  </si>
  <si>
    <t>Loonheffing als % vd lonen</t>
  </si>
  <si>
    <t>Omzetbelasting als % vd omzet</t>
  </si>
  <si>
    <t>BALANS</t>
  </si>
  <si>
    <t>Immateriele vaste activa</t>
  </si>
  <si>
    <t>Materiele vaste activa</t>
  </si>
  <si>
    <t>Financiele vaste activa</t>
  </si>
  <si>
    <t>Totaal vaste activa</t>
  </si>
  <si>
    <t>Voorraad</t>
  </si>
  <si>
    <t>Handelsdebiteuren</t>
  </si>
  <si>
    <t>Overlopende activa</t>
  </si>
  <si>
    <t>Totaal vlottende activa</t>
  </si>
  <si>
    <t>Liquide middelen</t>
  </si>
  <si>
    <t>ACTIVA</t>
  </si>
  <si>
    <t>Geplaatst kapitaal</t>
  </si>
  <si>
    <t>Overige reserves</t>
  </si>
  <si>
    <t>Winst boekjaar</t>
  </si>
  <si>
    <t>Eigen vermogen</t>
  </si>
  <si>
    <t>Voorziening dubieuze debiteuren</t>
  </si>
  <si>
    <t>Voorzieningen</t>
  </si>
  <si>
    <t>Langlopende schulden</t>
  </si>
  <si>
    <t>Crediteuren</t>
  </si>
  <si>
    <t>Loonheffing</t>
  </si>
  <si>
    <t>Omzetbelasting</t>
  </si>
  <si>
    <t>Kortlopende schulden</t>
  </si>
  <si>
    <t>PASSIVA</t>
  </si>
  <si>
    <t>Check</t>
  </si>
  <si>
    <t>NETTO WERKKAPITAAL</t>
  </si>
  <si>
    <t>Totaal kortlopende schulden</t>
  </si>
  <si>
    <t>Netto werkkapitaal</t>
  </si>
  <si>
    <t>CASHFLOW</t>
  </si>
  <si>
    <t>Bedrijfsresultaat</t>
  </si>
  <si>
    <t>Afschrijvingen</t>
  </si>
  <si>
    <t>Amortisaties</t>
  </si>
  <si>
    <t>Mutatie voorzieningen</t>
  </si>
  <si>
    <t>Non-cash items</t>
  </si>
  <si>
    <t>Voorraden</t>
  </si>
  <si>
    <t>Vorderingen</t>
  </si>
  <si>
    <t>Verandering in werkkapitaal</t>
  </si>
  <si>
    <t>Kasstroom uit bedrijfsoperaties</t>
  </si>
  <si>
    <t>Rentelasten en soortgelijke kosten</t>
  </si>
  <si>
    <t>Kasstroom uit operationele activiteiten</t>
  </si>
  <si>
    <t>Afname/toename Financiele vaste activa</t>
  </si>
  <si>
    <t>Afname/toename immateriele vaste activa</t>
  </si>
  <si>
    <t>Investeringen materiele vaste activa</t>
  </si>
  <si>
    <t>Kasstroom uit investeringsactiviteiten</t>
  </si>
  <si>
    <t>Mutatie aandelenkapitaal (dividend)</t>
  </si>
  <si>
    <t>Mutatie rentedragen schulden (excl R/C)</t>
  </si>
  <si>
    <t>Kasstroom uit financieringsactiviteiten</t>
  </si>
  <si>
    <t>Netto kasstroom</t>
  </si>
  <si>
    <t>Stand per 1 januari</t>
  </si>
  <si>
    <t>Mutatie boekjaar</t>
  </si>
  <si>
    <t>Stand per 31 december</t>
  </si>
  <si>
    <t>Aantal FTE</t>
  </si>
  <si>
    <t>Groei aantal FTE in %</t>
  </si>
  <si>
    <t>Crediteurendagen</t>
  </si>
  <si>
    <t>Debiteurendagen</t>
  </si>
  <si>
    <t>Groei salariskosten per FTE in %</t>
  </si>
  <si>
    <t>Netto winst/omzet</t>
  </si>
  <si>
    <t>Managementfee (€000)</t>
  </si>
  <si>
    <t>Salariskosten per FTE (€000)</t>
  </si>
  <si>
    <t>Salariskosten totaal (€000)</t>
  </si>
  <si>
    <t>Overlopende passiva en overige schulden</t>
  </si>
  <si>
    <t>JR</t>
  </si>
  <si>
    <t>Langlopende schulden1</t>
  </si>
  <si>
    <t>Langlopende schulden2</t>
  </si>
  <si>
    <t>Kortlopend deel lang lopende schulden</t>
  </si>
  <si>
    <t>Belastingen</t>
  </si>
  <si>
    <t>Investeringen in materiele activa</t>
  </si>
  <si>
    <t>Operationele vrije kasstroom</t>
  </si>
  <si>
    <t>Belasting</t>
  </si>
  <si>
    <t>NOPLAT</t>
  </si>
  <si>
    <t>Afschrijving en amortisatie</t>
  </si>
  <si>
    <t>Bruto Cashflow</t>
  </si>
  <si>
    <t>Investeringen in vaste activa</t>
  </si>
  <si>
    <t>Netto investeringen in NWK</t>
  </si>
  <si>
    <t>Free Cashflow</t>
  </si>
  <si>
    <t>Costs of equity</t>
  </si>
  <si>
    <t>Discount rate</t>
  </si>
  <si>
    <t>Terminal growth</t>
  </si>
  <si>
    <t>DCF per 01-01-2019</t>
  </si>
  <si>
    <t>Periode</t>
  </si>
  <si>
    <t>Cashflow</t>
  </si>
  <si>
    <t>Disconteringsvoet periode</t>
  </si>
  <si>
    <t>Contante waarde cashflow</t>
  </si>
  <si>
    <t>Totaal contante waarde prognoseperiode</t>
  </si>
  <si>
    <t>Cashflow restperiode</t>
  </si>
  <si>
    <t>Disount rate -/- terminal growth</t>
  </si>
  <si>
    <t>Waarde restperiode</t>
  </si>
  <si>
    <t>Disconteringsvoet</t>
  </si>
  <si>
    <t>Contante waarde restperiode</t>
  </si>
  <si>
    <t>Ondernemingswaarde</t>
  </si>
  <si>
    <t>Cash &amp; Debt items</t>
  </si>
  <si>
    <t>Cash Items:</t>
  </si>
  <si>
    <t>Bij: Liquide middelen per 1/1/2019</t>
  </si>
  <si>
    <t>Debt Items:</t>
  </si>
  <si>
    <t>Bij:</t>
  </si>
  <si>
    <t>Correctie op ondernemingswaarde</t>
  </si>
  <si>
    <t>Aandelenwaarde</t>
  </si>
  <si>
    <t xml:space="preserve">Ondernemingswaarde </t>
  </si>
  <si>
    <t>Aandelenwaarde (100%) 1/1/2019)</t>
  </si>
  <si>
    <t>RP</t>
  </si>
  <si>
    <t>Kostenvoet eigen vermogen</t>
  </si>
  <si>
    <t>Build-up methode</t>
  </si>
  <si>
    <t>%</t>
  </si>
  <si>
    <t>Risicovrije rente</t>
  </si>
  <si>
    <t>Marktpremie</t>
  </si>
  <si>
    <t>Size Premium</t>
  </si>
  <si>
    <t>Industry Risk Premium</t>
  </si>
  <si>
    <t>Company Specific Premium</t>
  </si>
  <si>
    <t>cf. Duff &amp; Phelps Valuation Handbook 2017</t>
  </si>
  <si>
    <t>cf. BDO (2010) specifiek ondernemingsrisicopremie</t>
  </si>
  <si>
    <t>Company Specific Risk Premium BDO</t>
  </si>
  <si>
    <t>Weging</t>
  </si>
  <si>
    <t>Score</t>
  </si>
  <si>
    <t>Product</t>
  </si>
  <si>
    <t>Iliquiditeit</t>
  </si>
  <si>
    <t>Afhankelijkheid opdrachtgevers</t>
  </si>
  <si>
    <t>Afhankelijkheid leveranciers</t>
  </si>
  <si>
    <t>Afhankelijkheid management</t>
  </si>
  <si>
    <t>Spreiding activiteiten</t>
  </si>
  <si>
    <t>Toetredingsbarrieres tot de markt</t>
  </si>
  <si>
    <t>Trackrecord</t>
  </si>
  <si>
    <t>Flexibiliteit</t>
  </si>
  <si>
    <t>Motivatie</t>
  </si>
  <si>
    <t>Risico van iliquiditeit wordt ondervangen in de Size Premium, score derhalve 0</t>
  </si>
  <si>
    <r>
      <t>cf. Duff &amp; Phelps Valuation Handbook 2017 (industry:</t>
    </r>
    <r>
      <rPr>
        <sz val="10"/>
        <color rgb="FFFFC000"/>
        <rFont val="Arial"/>
        <family val="2"/>
      </rPr>
      <t>&lt;&lt;&lt;&gt;&gt;&gt;</t>
    </r>
    <r>
      <rPr>
        <sz val="10"/>
        <rFont val="Arial"/>
        <family val="2"/>
      </rPr>
      <t>)</t>
    </r>
  </si>
  <si>
    <t>Af: Langlopende schulden per 1/1/2019</t>
  </si>
  <si>
    <t>Overige vorderingen</t>
  </si>
  <si>
    <t>Te betalen Vennootschapsbelasting als % van vennootschapsbelasting</t>
  </si>
  <si>
    <t>[bedrijf]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</si>
</sst>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 &quot;€&quot;\ * #,##0.00_ ;_ &quot;€&quot;\ * \-#,##0.00_ ;_ &quot;€&quot;\ * &quot;-&quot;??_ ;_ @_ "/>
    <numFmt numFmtId="43" formatCode="_ * #,##0.00_ ;_ * \-#,##0.00_ ;_ * &quot;-&quot;??_ ;_ @_ "/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0.0%"/>
    <numFmt numFmtId="168" formatCode="_ * #,##0.0_ ;_ * \-#,##0.0_ ;_ * &quot;-&quot;??_ ;_ @_ "/>
    <numFmt numFmtId="169" formatCode="_ * #,##0_ ;_ * \-#,##0_ ;_ * &quot;-&quot;??_ ;_ @_ "/>
    <numFmt numFmtId="170" formatCode="_ * #,##0.000_ ;_ * \-#,##0.000_ ;_ * &quot;-&quot;??_ ;_ @_ "/>
    <numFmt numFmtId="171" formatCode="_(* #,##0.00_);_(* \(#,##0.00\);_(* &quot;-&quot;_);_(@_)"/>
    <numFmt numFmtId="172" formatCode="_(* #,##0.0_);_(* \(#,##0.0\);_(* &quot;-&quot;_);_(@_)"/>
    <numFmt numFmtId="173" formatCode="_(* #,##0.0_);_(* \(#,##0.0\);_(* &quot;-&quot;??_);_(@_)"/>
    <numFmt numFmtId="174" formatCode="0.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indexed="9"/>
      <name val="Arial"/>
      <family val="2"/>
    </font>
    <font>
      <b/>
      <sz val="9"/>
      <name val="Arial"/>
      <family val="2"/>
    </font>
    <font>
      <i/>
      <sz val="8"/>
      <color theme="1"/>
      <name val="Arial"/>
      <family val="2"/>
    </font>
    <font>
      <sz val="9"/>
      <name val="Arial"/>
      <family val="2"/>
    </font>
    <font>
      <u val="singleAccounting"/>
      <sz val="9"/>
      <color theme="1"/>
      <name val="Arial"/>
      <family val="2"/>
    </font>
    <font>
      <b/>
      <i/>
      <sz val="9"/>
      <color theme="1"/>
      <name val="Arial"/>
      <family val="2"/>
    </font>
    <font>
      <b/>
      <u val="singleAccounting"/>
      <sz val="9"/>
      <color theme="1"/>
      <name val="Arial"/>
      <family val="2"/>
    </font>
    <font>
      <sz val="9"/>
      <color theme="0"/>
      <name val="Arial"/>
      <family val="2"/>
    </font>
    <font>
      <sz val="9"/>
      <color rgb="FFFF0000"/>
      <name val="Arial"/>
      <family val="2"/>
    </font>
    <font>
      <u val="singleAccounting"/>
      <sz val="9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u/>
      <sz val="9"/>
      <name val="Arial"/>
      <family val="2"/>
    </font>
    <font>
      <i/>
      <sz val="9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FFC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59999389629810485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7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7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9">
    <xf numFmtId="0" fontId="0" fillId="0" borderId="0" xfId="0"/>
    <xf numFmtId="0" fontId="2" fillId="2" borderId="0" xfId="0" applyFont="1" applyFill="1"/>
    <xf numFmtId="166" fontId="4" fillId="2" borderId="0" xfId="1" applyNumberFormat="1" applyFont="1" applyFill="1"/>
    <xf numFmtId="166" fontId="4" fillId="2" borderId="0" xfId="1" applyNumberFormat="1" applyFont="1" applyFill="1" applyBorder="1"/>
    <xf numFmtId="0" fontId="4" fillId="2" borderId="0" xfId="0" applyFont="1" applyFill="1"/>
    <xf numFmtId="0" fontId="6" fillId="2" borderId="0" xfId="0" applyFont="1" applyFill="1"/>
    <xf numFmtId="166" fontId="2" fillId="2" borderId="0" xfId="1" applyNumberFormat="1" applyFont="1" applyFill="1" applyBorder="1"/>
    <xf numFmtId="0" fontId="7" fillId="2" borderId="0" xfId="0" applyFont="1" applyFill="1"/>
    <xf numFmtId="167" fontId="7" fillId="2" borderId="0" xfId="3" applyNumberFormat="1" applyFont="1" applyFill="1" applyBorder="1"/>
    <xf numFmtId="166" fontId="9" fillId="2" borderId="0" xfId="1" applyNumberFormat="1" applyFont="1" applyFill="1" applyBorder="1"/>
    <xf numFmtId="166" fontId="2" fillId="2" borderId="0" xfId="1" applyNumberFormat="1" applyFont="1" applyFill="1"/>
    <xf numFmtId="167" fontId="7" fillId="2" borderId="0" xfId="3" applyNumberFormat="1" applyFont="1" applyFill="1"/>
    <xf numFmtId="0" fontId="10" fillId="2" borderId="0" xfId="0" applyFont="1" applyFill="1"/>
    <xf numFmtId="44" fontId="7" fillId="2" borderId="0" xfId="2" applyFont="1" applyFill="1" applyBorder="1"/>
    <xf numFmtId="167" fontId="4" fillId="2" borderId="0" xfId="3" applyNumberFormat="1" applyFont="1" applyFill="1" applyBorder="1"/>
    <xf numFmtId="167" fontId="4" fillId="2" borderId="0" xfId="3" applyNumberFormat="1" applyFont="1" applyFill="1"/>
    <xf numFmtId="44" fontId="4" fillId="2" borderId="0" xfId="2" applyFont="1" applyFill="1"/>
    <xf numFmtId="9" fontId="12" fillId="2" borderId="0" xfId="3" applyFont="1" applyFill="1"/>
    <xf numFmtId="167" fontId="4" fillId="2" borderId="0" xfId="3" applyNumberFormat="1" applyFont="1" applyFill="1" applyBorder="1" applyAlignment="1">
      <alignment horizontal="right"/>
    </xf>
    <xf numFmtId="0" fontId="4" fillId="2" borderId="1" xfId="0" applyFont="1" applyFill="1" applyBorder="1"/>
    <xf numFmtId="0" fontId="2" fillId="2" borderId="1" xfId="0" applyFont="1" applyFill="1" applyBorder="1"/>
    <xf numFmtId="166" fontId="2" fillId="2" borderId="2" xfId="1" applyNumberFormat="1" applyFont="1" applyFill="1" applyBorder="1"/>
    <xf numFmtId="166" fontId="8" fillId="2" borderId="0" xfId="1" applyNumberFormat="1" applyFont="1" applyFill="1" applyBorder="1"/>
    <xf numFmtId="166" fontId="13" fillId="2" borderId="0" xfId="1" applyNumberFormat="1" applyFont="1" applyFill="1" applyBorder="1"/>
    <xf numFmtId="165" fontId="13" fillId="2" borderId="0" xfId="1" applyNumberFormat="1" applyFont="1" applyFill="1" applyBorder="1"/>
    <xf numFmtId="166" fontId="8" fillId="3" borderId="0" xfId="0" applyNumberFormat="1" applyFont="1" applyFill="1"/>
    <xf numFmtId="166" fontId="14" fillId="3" borderId="0" xfId="0" applyNumberFormat="1" applyFont="1" applyFill="1"/>
    <xf numFmtId="166" fontId="6" fillId="2" borderId="0" xfId="1" applyNumberFormat="1" applyFont="1" applyFill="1" applyBorder="1"/>
    <xf numFmtId="166" fontId="6" fillId="3" borderId="0" xfId="1" applyNumberFormat="1" applyFont="1" applyFill="1" applyBorder="1"/>
    <xf numFmtId="166" fontId="8" fillId="3" borderId="0" xfId="1" applyNumberFormat="1" applyFont="1" applyFill="1" applyBorder="1"/>
    <xf numFmtId="166" fontId="14" fillId="2" borderId="0" xfId="1" applyNumberFormat="1" applyFont="1" applyFill="1" applyBorder="1"/>
    <xf numFmtId="166" fontId="14" fillId="3" borderId="0" xfId="1" applyNumberFormat="1" applyFont="1" applyFill="1" applyBorder="1"/>
    <xf numFmtId="166" fontId="4" fillId="3" borderId="0" xfId="1" applyNumberFormat="1" applyFont="1" applyFill="1"/>
    <xf numFmtId="166" fontId="2" fillId="3" borderId="0" xfId="1" applyNumberFormat="1" applyFont="1" applyFill="1" applyBorder="1"/>
    <xf numFmtId="166" fontId="4" fillId="3" borderId="0" xfId="1" applyNumberFormat="1" applyFont="1" applyFill="1" applyBorder="1"/>
    <xf numFmtId="166" fontId="9" fillId="3" borderId="0" xfId="1" applyNumberFormat="1" applyFont="1" applyFill="1" applyBorder="1"/>
    <xf numFmtId="166" fontId="4" fillId="2" borderId="3" xfId="1" applyNumberFormat="1" applyFont="1" applyFill="1" applyBorder="1"/>
    <xf numFmtId="166" fontId="4" fillId="3" borderId="3" xfId="1" applyNumberFormat="1" applyFont="1" applyFill="1" applyBorder="1"/>
    <xf numFmtId="0" fontId="4" fillId="2" borderId="0" xfId="2" applyNumberFormat="1" applyFont="1" applyFill="1" applyBorder="1"/>
    <xf numFmtId="166" fontId="7" fillId="2" borderId="0" xfId="1" applyNumberFormat="1" applyFont="1" applyFill="1"/>
    <xf numFmtId="166" fontId="9" fillId="2" borderId="0" xfId="1" applyNumberFormat="1" applyFont="1" applyFill="1"/>
    <xf numFmtId="0" fontId="2" fillId="2" borderId="0" xfId="0" applyFont="1" applyFill="1" applyAlignment="1">
      <alignment wrapText="1"/>
    </xf>
    <xf numFmtId="0" fontId="2" fillId="2" borderId="2" xfId="0" applyFont="1" applyFill="1" applyBorder="1"/>
    <xf numFmtId="166" fontId="11" fillId="2" borderId="0" xfId="1" applyNumberFormat="1" applyFont="1" applyFill="1"/>
    <xf numFmtId="0" fontId="13" fillId="2" borderId="0" xfId="0" applyFont="1" applyFill="1"/>
    <xf numFmtId="166" fontId="13" fillId="2" borderId="0" xfId="1" applyNumberFormat="1" applyFont="1" applyFill="1"/>
    <xf numFmtId="0" fontId="8" fillId="2" borderId="0" xfId="0" applyFont="1" applyFill="1"/>
    <xf numFmtId="0" fontId="5" fillId="2" borderId="0" xfId="0" applyFont="1" applyFill="1"/>
    <xf numFmtId="166" fontId="8" fillId="2" borderId="0" xfId="0" applyNumberFormat="1" applyFont="1" applyFill="1"/>
    <xf numFmtId="166" fontId="14" fillId="2" borderId="0" xfId="0" applyNumberFormat="1" applyFont="1" applyFill="1"/>
    <xf numFmtId="9" fontId="3" fillId="4" borderId="4" xfId="3" applyFont="1" applyFill="1" applyBorder="1"/>
    <xf numFmtId="9" fontId="3" fillId="5" borderId="4" xfId="3" applyFont="1" applyFill="1" applyBorder="1"/>
    <xf numFmtId="169" fontId="3" fillId="4" borderId="4" xfId="1" applyNumberFormat="1" applyFont="1" applyFill="1" applyBorder="1"/>
    <xf numFmtId="168" fontId="3" fillId="5" borderId="4" xfId="1" applyNumberFormat="1" applyFont="1" applyFill="1" applyBorder="1"/>
    <xf numFmtId="170" fontId="3" fillId="4" borderId="4" xfId="1" applyNumberFormat="1" applyFont="1" applyFill="1" applyBorder="1"/>
    <xf numFmtId="0" fontId="4" fillId="2" borderId="3" xfId="0" applyFont="1" applyFill="1" applyBorder="1"/>
    <xf numFmtId="169" fontId="3" fillId="2" borderId="4" xfId="1" applyNumberFormat="1" applyFont="1" applyFill="1" applyBorder="1"/>
    <xf numFmtId="0" fontId="0" fillId="2" borderId="0" xfId="0" applyFill="1"/>
    <xf numFmtId="170" fontId="3" fillId="2" borderId="0" xfId="1" applyNumberFormat="1" applyFont="1" applyFill="1" applyBorder="1"/>
    <xf numFmtId="0" fontId="4" fillId="7" borderId="0" xfId="0" applyFont="1" applyFill="1"/>
    <xf numFmtId="0" fontId="2" fillId="7" borderId="0" xfId="0" applyFont="1" applyFill="1"/>
    <xf numFmtId="0" fontId="7" fillId="7" borderId="0" xfId="0" applyFont="1" applyFill="1"/>
    <xf numFmtId="166" fontId="4" fillId="7" borderId="0" xfId="0" applyNumberFormat="1" applyFont="1" applyFill="1"/>
    <xf numFmtId="0" fontId="8" fillId="7" borderId="0" xfId="0" applyFont="1" applyFill="1"/>
    <xf numFmtId="167" fontId="3" fillId="4" borderId="4" xfId="3" applyNumberFormat="1" applyFont="1" applyFill="1" applyBorder="1"/>
    <xf numFmtId="166" fontId="8" fillId="2" borderId="0" xfId="1" applyNumberFormat="1" applyFont="1" applyFill="1" applyAlignment="1">
      <alignment horizontal="left"/>
    </xf>
    <xf numFmtId="9" fontId="7" fillId="2" borderId="0" xfId="3" applyFont="1" applyFill="1"/>
    <xf numFmtId="0" fontId="2" fillId="2" borderId="7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right" vertical="top"/>
    </xf>
    <xf numFmtId="0" fontId="2" fillId="2" borderId="3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/>
    </xf>
    <xf numFmtId="0" fontId="16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/>
    </xf>
    <xf numFmtId="9" fontId="4" fillId="2" borderId="0" xfId="3" applyFont="1" applyFill="1" applyBorder="1" applyAlignment="1">
      <alignment horizontal="right"/>
    </xf>
    <xf numFmtId="166" fontId="4" fillId="2" borderId="0" xfId="1" applyNumberFormat="1" applyFont="1" applyFill="1" applyBorder="1" applyAlignment="1">
      <alignment horizontal="right"/>
    </xf>
    <xf numFmtId="166" fontId="10" fillId="2" borderId="0" xfId="1" applyNumberFormat="1" applyFont="1" applyFill="1" applyBorder="1"/>
    <xf numFmtId="167" fontId="3" fillId="5" borderId="4" xfId="3" applyNumberFormat="1" applyFont="1" applyFill="1" applyBorder="1"/>
    <xf numFmtId="43" fontId="3" fillId="5" borderId="4" xfId="1" applyFont="1" applyFill="1" applyBorder="1"/>
    <xf numFmtId="43" fontId="3" fillId="4" borderId="4" xfId="1" applyFont="1" applyFill="1" applyBorder="1"/>
    <xf numFmtId="167" fontId="3" fillId="6" borderId="4" xfId="3" applyNumberFormat="1" applyFont="1" applyFill="1" applyBorder="1"/>
    <xf numFmtId="0" fontId="2" fillId="8" borderId="7" xfId="0" applyFont="1" applyFill="1" applyBorder="1" applyAlignment="1">
      <alignment horizontal="right" vertical="top"/>
    </xf>
    <xf numFmtId="0" fontId="2" fillId="8" borderId="3" xfId="0" applyFont="1" applyFill="1" applyBorder="1" applyAlignment="1">
      <alignment horizontal="right" vertical="top"/>
    </xf>
    <xf numFmtId="166" fontId="2" fillId="8" borderId="0" xfId="1" applyNumberFormat="1" applyFont="1" applyFill="1" applyBorder="1"/>
    <xf numFmtId="167" fontId="7" fillId="8" borderId="0" xfId="3" applyNumberFormat="1" applyFont="1" applyFill="1" applyBorder="1"/>
    <xf numFmtId="166" fontId="4" fillId="8" borderId="3" xfId="1" applyNumberFormat="1" applyFont="1" applyFill="1" applyBorder="1"/>
    <xf numFmtId="166" fontId="2" fillId="8" borderId="0" xfId="1" applyNumberFormat="1" applyFont="1" applyFill="1"/>
    <xf numFmtId="167" fontId="7" fillId="8" borderId="0" xfId="3" applyNumberFormat="1" applyFont="1" applyFill="1"/>
    <xf numFmtId="166" fontId="4" fillId="8" borderId="0" xfId="1" applyNumberFormat="1" applyFont="1" applyFill="1" applyBorder="1"/>
    <xf numFmtId="166" fontId="4" fillId="8" borderId="0" xfId="1" applyNumberFormat="1" applyFont="1" applyFill="1"/>
    <xf numFmtId="166" fontId="10" fillId="8" borderId="0" xfId="1" applyNumberFormat="1" applyFont="1" applyFill="1" applyBorder="1"/>
    <xf numFmtId="167" fontId="4" fillId="8" borderId="0" xfId="3" applyNumberFormat="1" applyFont="1" applyFill="1"/>
    <xf numFmtId="9" fontId="7" fillId="8" borderId="0" xfId="3" applyFont="1" applyFill="1"/>
    <xf numFmtId="166" fontId="2" fillId="8" borderId="2" xfId="1" applyNumberFormat="1" applyFont="1" applyFill="1" applyBorder="1"/>
    <xf numFmtId="169" fontId="3" fillId="5" borderId="4" xfId="1" applyNumberFormat="1" applyFont="1" applyFill="1" applyBorder="1"/>
    <xf numFmtId="169" fontId="15" fillId="5" borderId="4" xfId="1" applyNumberFormat="1" applyFont="1" applyFill="1" applyBorder="1"/>
    <xf numFmtId="0" fontId="8" fillId="9" borderId="0" xfId="0" applyFont="1" applyFill="1"/>
    <xf numFmtId="164" fontId="8" fillId="9" borderId="0" xfId="0" applyNumberFormat="1" applyFont="1" applyFill="1"/>
    <xf numFmtId="171" fontId="8" fillId="9" borderId="0" xfId="0" applyNumberFormat="1" applyFont="1" applyFill="1"/>
    <xf numFmtId="0" fontId="6" fillId="9" borderId="0" xfId="0" applyFont="1" applyFill="1"/>
    <xf numFmtId="164" fontId="6" fillId="9" borderId="0" xfId="0" applyNumberFormat="1" applyFont="1" applyFill="1"/>
    <xf numFmtId="164" fontId="6" fillId="3" borderId="0" xfId="0" applyNumberFormat="1" applyFont="1" applyFill="1"/>
    <xf numFmtId="164" fontId="8" fillId="3" borderId="0" xfId="0" applyNumberFormat="1" applyFont="1" applyFill="1" applyAlignment="1">
      <alignment horizontal="right"/>
    </xf>
    <xf numFmtId="164" fontId="8" fillId="3" borderId="3" xfId="0" applyNumberFormat="1" applyFont="1" applyFill="1" applyBorder="1" applyAlignment="1">
      <alignment horizontal="right"/>
    </xf>
    <xf numFmtId="164" fontId="6" fillId="3" borderId="0" xfId="0" applyNumberFormat="1" applyFont="1" applyFill="1" applyAlignment="1">
      <alignment horizontal="right"/>
    </xf>
    <xf numFmtId="0" fontId="8" fillId="9" borderId="8" xfId="0" applyFont="1" applyFill="1" applyBorder="1"/>
    <xf numFmtId="9" fontId="8" fillId="9" borderId="9" xfId="0" applyNumberFormat="1" applyFont="1" applyFill="1" applyBorder="1"/>
    <xf numFmtId="167" fontId="8" fillId="2" borderId="10" xfId="3" applyNumberFormat="1" applyFont="1" applyFill="1" applyBorder="1"/>
    <xf numFmtId="0" fontId="6" fillId="9" borderId="11" xfId="0" applyFont="1" applyFill="1" applyBorder="1"/>
    <xf numFmtId="9" fontId="6" fillId="9" borderId="0" xfId="0" applyNumberFormat="1" applyFont="1" applyFill="1"/>
    <xf numFmtId="10" fontId="6" fillId="2" borderId="12" xfId="3" applyNumberFormat="1" applyFont="1" applyFill="1" applyBorder="1"/>
    <xf numFmtId="0" fontId="8" fillId="9" borderId="13" xfId="0" applyFont="1" applyFill="1" applyBorder="1"/>
    <xf numFmtId="9" fontId="8" fillId="9" borderId="3" xfId="0" applyNumberFormat="1" applyFont="1" applyFill="1" applyBorder="1"/>
    <xf numFmtId="167" fontId="8" fillId="2" borderId="14" xfId="3" applyNumberFormat="1" applyFont="1" applyFill="1" applyBorder="1"/>
    <xf numFmtId="172" fontId="8" fillId="9" borderId="0" xfId="0" applyNumberFormat="1" applyFont="1" applyFill="1"/>
    <xf numFmtId="164" fontId="19" fillId="3" borderId="0" xfId="0" applyNumberFormat="1" applyFont="1" applyFill="1"/>
    <xf numFmtId="164" fontId="8" fillId="3" borderId="0" xfId="0" applyNumberFormat="1" applyFont="1" applyFill="1" applyAlignment="1">
      <alignment horizontal="left" indent="2"/>
    </xf>
    <xf numFmtId="171" fontId="14" fillId="3" borderId="0" xfId="0" applyNumberFormat="1" applyFont="1" applyFill="1"/>
    <xf numFmtId="172" fontId="14" fillId="0" borderId="0" xfId="0" applyNumberFormat="1" applyFont="1" applyAlignment="1">
      <alignment horizontal="left" indent="2"/>
    </xf>
    <xf numFmtId="1" fontId="4" fillId="2" borderId="0" xfId="0" applyNumberFormat="1" applyFont="1" applyFill="1"/>
    <xf numFmtId="164" fontId="6" fillId="9" borderId="0" xfId="0" applyNumberFormat="1" applyFont="1" applyFill="1" applyAlignment="1">
      <alignment horizontal="left" indent="2"/>
    </xf>
    <xf numFmtId="166" fontId="8" fillId="9" borderId="0" xfId="1" applyNumberFormat="1" applyFont="1" applyFill="1" applyAlignment="1">
      <alignment horizontal="left" indent="2"/>
    </xf>
    <xf numFmtId="167" fontId="8" fillId="9" borderId="0" xfId="3" applyNumberFormat="1" applyFont="1" applyFill="1" applyBorder="1"/>
    <xf numFmtId="166" fontId="8" fillId="9" borderId="0" xfId="1" applyNumberFormat="1" applyFont="1" applyFill="1" applyBorder="1"/>
    <xf numFmtId="165" fontId="8" fillId="9" borderId="0" xfId="1" applyNumberFormat="1" applyFont="1" applyFill="1" applyBorder="1"/>
    <xf numFmtId="164" fontId="14" fillId="9" borderId="0" xfId="0" applyNumberFormat="1" applyFont="1" applyFill="1"/>
    <xf numFmtId="14" fontId="2" fillId="2" borderId="7" xfId="0" applyNumberFormat="1" applyFont="1" applyFill="1" applyBorder="1" applyAlignment="1">
      <alignment horizontal="right" vertical="top"/>
    </xf>
    <xf numFmtId="0" fontId="17" fillId="2" borderId="0" xfId="0" applyFont="1" applyFill="1"/>
    <xf numFmtId="166" fontId="0" fillId="2" borderId="0" xfId="0" applyNumberFormat="1" applyFill="1"/>
    <xf numFmtId="0" fontId="0" fillId="2" borderId="3" xfId="0" applyFill="1" applyBorder="1"/>
    <xf numFmtId="173" fontId="0" fillId="2" borderId="0" xfId="0" applyNumberFormat="1" applyFill="1"/>
    <xf numFmtId="173" fontId="17" fillId="2" borderId="0" xfId="0" applyNumberFormat="1" applyFont="1" applyFill="1"/>
    <xf numFmtId="164" fontId="0" fillId="2" borderId="0" xfId="0" applyNumberFormat="1" applyFill="1"/>
    <xf numFmtId="173" fontId="0" fillId="2" borderId="3" xfId="0" applyNumberFormat="1" applyFill="1" applyBorder="1"/>
    <xf numFmtId="169" fontId="0" fillId="2" borderId="0" xfId="1" applyNumberFormat="1" applyFont="1" applyFill="1"/>
    <xf numFmtId="166" fontId="18" fillId="3" borderId="0" xfId="1" applyNumberFormat="1" applyFont="1" applyFill="1" applyAlignment="1">
      <alignment horizontal="right"/>
    </xf>
    <xf numFmtId="0" fontId="3" fillId="2" borderId="0" xfId="0" applyFont="1" applyFill="1"/>
    <xf numFmtId="0" fontId="20" fillId="2" borderId="0" xfId="0" applyFont="1" applyFill="1"/>
    <xf numFmtId="0" fontId="21" fillId="2" borderId="0" xfId="0" applyFont="1" applyFill="1"/>
    <xf numFmtId="0" fontId="3" fillId="2" borderId="3" xfId="0" applyFont="1" applyFill="1" applyBorder="1" applyAlignment="1">
      <alignment horizontal="center"/>
    </xf>
    <xf numFmtId="0" fontId="15" fillId="2" borderId="0" xfId="0" applyFont="1" applyFill="1"/>
    <xf numFmtId="0" fontId="22" fillId="2" borderId="0" xfId="0" applyFont="1" applyFill="1" applyAlignment="1">
      <alignment vertical="center"/>
    </xf>
    <xf numFmtId="10" fontId="22" fillId="2" borderId="0" xfId="3" applyNumberFormat="1" applyFont="1" applyFill="1" applyAlignment="1">
      <alignment horizontal="right"/>
    </xf>
    <xf numFmtId="10" fontId="22" fillId="2" borderId="3" xfId="3" applyNumberFormat="1" applyFont="1" applyFill="1" applyBorder="1" applyAlignment="1">
      <alignment horizontal="right"/>
    </xf>
    <xf numFmtId="10" fontId="3" fillId="2" borderId="0" xfId="0" applyNumberFormat="1" applyFont="1" applyFill="1"/>
    <xf numFmtId="10" fontId="0" fillId="2" borderId="0" xfId="3" applyNumberFormat="1" applyFont="1" applyFill="1"/>
    <xf numFmtId="0" fontId="22" fillId="2" borderId="0" xfId="0" applyFont="1" applyFill="1"/>
    <xf numFmtId="10" fontId="22" fillId="2" borderId="0" xfId="0" applyNumberFormat="1" applyFont="1" applyFill="1"/>
    <xf numFmtId="0" fontId="15" fillId="2" borderId="0" xfId="0" applyFont="1" applyFill="1" applyAlignment="1">
      <alignment horizontal="right"/>
    </xf>
    <xf numFmtId="0" fontId="15" fillId="2" borderId="0" xfId="0" applyFont="1" applyFill="1" applyAlignment="1">
      <alignment horizontal="center"/>
    </xf>
    <xf numFmtId="0" fontId="23" fillId="2" borderId="0" xfId="0" applyFont="1" applyFill="1"/>
    <xf numFmtId="10" fontId="22" fillId="2" borderId="0" xfId="3" applyNumberFormat="1" applyFont="1" applyFill="1" applyAlignment="1"/>
    <xf numFmtId="174" fontId="22" fillId="2" borderId="0" xfId="0" applyNumberFormat="1" applyFont="1" applyFill="1" applyAlignment="1">
      <alignment horizontal="center"/>
    </xf>
    <xf numFmtId="10" fontId="22" fillId="2" borderId="3" xfId="3" applyNumberFormat="1" applyFont="1" applyFill="1" applyBorder="1" applyAlignment="1"/>
    <xf numFmtId="0" fontId="22" fillId="2" borderId="9" xfId="0" applyFont="1" applyFill="1" applyBorder="1"/>
    <xf numFmtId="0" fontId="3" fillId="2" borderId="0" xfId="0" applyFont="1" applyFill="1" applyAlignment="1">
      <alignment horizontal="left" vertical="top"/>
    </xf>
    <xf numFmtId="0" fontId="15" fillId="2" borderId="0" xfId="0" applyFont="1" applyFill="1" applyAlignment="1">
      <alignment horizontal="left" vertical="top"/>
    </xf>
    <xf numFmtId="0" fontId="23" fillId="2" borderId="0" xfId="0" applyFont="1" applyFill="1" applyAlignment="1">
      <alignment horizontal="left" vertical="top" wrapText="1"/>
    </xf>
    <xf numFmtId="0" fontId="22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3" fillId="2" borderId="0" xfId="0" applyFont="1" applyFill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10" borderId="7" xfId="0" applyFont="1" applyFill="1" applyBorder="1" applyAlignment="1">
      <alignment horizontal="right" vertical="top"/>
    </xf>
    <xf numFmtId="0" fontId="16" fillId="2" borderId="5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2" fillId="2" borderId="15" xfId="0" applyFont="1" applyFill="1" applyBorder="1" applyAlignment="1">
      <alignment horizontal="left" vertical="top" wrapText="1"/>
    </xf>
  </cellXfs>
  <cellStyles count="4">
    <cellStyle name="Komma" xfId="1" builtinId="3"/>
    <cellStyle name="Procent" xfId="3" builtinId="5"/>
    <cellStyle name="Standaard" xfId="0" builtinId="0"/>
    <cellStyle name="Valuta" xfId="2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77D44-23E1-445B-A12C-465092D72FF5}">
  <dimension ref="A1:L240"/>
  <sheetViews>
    <sheetView tabSelected="1" topLeftCell="A211" workbookViewId="0">
      <selection activeCell="S37" sqref="S37"/>
    </sheetView>
  </sheetViews>
  <sheetFormatPr defaultRowHeight="15" x14ac:dyDescent="0.25"/>
  <cols>
    <col min="1" max="1" width="57.5703125" style="57" bestFit="1" customWidth="1"/>
    <col min="2" max="2" width="4.5703125" style="57" bestFit="1" customWidth="1"/>
    <col min="3" max="3" width="9.28515625" style="57" customWidth="1"/>
    <col min="4" max="4" width="10.140625" style="57" bestFit="1" customWidth="1"/>
    <col min="5" max="11" width="9.28515625" style="57" customWidth="1"/>
    <col min="12" max="12" width="32.85546875" style="57" customWidth="1"/>
    <col min="13" max="16384" width="9.140625" style="57"/>
  </cols>
  <sheetData>
    <row r="1" spans="1:12" x14ac:dyDescent="0.25">
      <c r="A1" s="165" t="s">
        <v>189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</row>
    <row r="2" spans="1:12" ht="15.75" thickBot="1" x14ac:dyDescent="0.3">
      <c r="A2" s="166"/>
      <c r="B2" s="2"/>
      <c r="C2" s="2"/>
      <c r="D2" s="2"/>
      <c r="E2" s="3"/>
      <c r="F2" s="4"/>
      <c r="G2" s="4"/>
      <c r="H2" s="4"/>
      <c r="I2" s="4"/>
      <c r="J2" s="4"/>
      <c r="K2" s="4"/>
      <c r="L2" s="4"/>
    </row>
    <row r="3" spans="1:12" x14ac:dyDescent="0.25">
      <c r="A3" s="73"/>
      <c r="B3" s="2"/>
      <c r="C3" s="2"/>
      <c r="D3" s="2"/>
      <c r="E3" s="3"/>
      <c r="F3" s="4"/>
      <c r="G3" s="4"/>
      <c r="H3" s="4"/>
      <c r="I3" s="4"/>
      <c r="J3" s="4"/>
      <c r="K3" s="4"/>
      <c r="L3" s="4"/>
    </row>
    <row r="4" spans="1:12" x14ac:dyDescent="0.25">
      <c r="A4" s="71" t="s">
        <v>0</v>
      </c>
      <c r="B4" s="68"/>
      <c r="C4" s="82">
        <v>2022</v>
      </c>
      <c r="D4" s="82">
        <v>2023</v>
      </c>
      <c r="E4" s="82">
        <v>2024</v>
      </c>
      <c r="F4" s="68">
        <v>2025</v>
      </c>
      <c r="G4" s="68">
        <v>2026</v>
      </c>
      <c r="H4" s="68">
        <v>2027</v>
      </c>
      <c r="I4" s="68">
        <v>2028</v>
      </c>
      <c r="J4" s="68">
        <v>2029</v>
      </c>
      <c r="K4" s="68" t="s">
        <v>160</v>
      </c>
      <c r="L4" s="167" t="s">
        <v>4</v>
      </c>
    </row>
    <row r="5" spans="1:12" x14ac:dyDescent="0.25">
      <c r="A5" s="72" t="s">
        <v>1</v>
      </c>
      <c r="B5" s="70"/>
      <c r="C5" s="83" t="s">
        <v>122</v>
      </c>
      <c r="D5" s="83" t="s">
        <v>122</v>
      </c>
      <c r="E5" s="83" t="s">
        <v>122</v>
      </c>
      <c r="F5" s="70" t="s">
        <v>2</v>
      </c>
      <c r="G5" s="70" t="s">
        <v>3</v>
      </c>
      <c r="H5" s="70" t="s">
        <v>3</v>
      </c>
      <c r="I5" s="70" t="s">
        <v>3</v>
      </c>
      <c r="J5" s="70" t="s">
        <v>3</v>
      </c>
      <c r="K5" s="70" t="s">
        <v>3</v>
      </c>
      <c r="L5" s="167"/>
    </row>
    <row r="6" spans="1:12" x14ac:dyDescent="0.25">
      <c r="A6" s="5" t="s">
        <v>5</v>
      </c>
      <c r="B6" s="10"/>
      <c r="C6" s="84"/>
      <c r="D6" s="84"/>
      <c r="E6" s="84"/>
      <c r="F6" s="6">
        <f>E6*(1+F50)</f>
        <v>0</v>
      </c>
      <c r="G6" s="6">
        <f t="shared" ref="G6:K6" si="0">F6*(1+G50)</f>
        <v>0</v>
      </c>
      <c r="H6" s="6">
        <f t="shared" si="0"/>
        <v>0</v>
      </c>
      <c r="I6" s="6">
        <f t="shared" si="0"/>
        <v>0</v>
      </c>
      <c r="J6" s="6">
        <f t="shared" si="0"/>
        <v>0</v>
      </c>
      <c r="K6" s="6">
        <f t="shared" si="0"/>
        <v>0</v>
      </c>
      <c r="L6" s="59"/>
    </row>
    <row r="7" spans="1:12" x14ac:dyDescent="0.25">
      <c r="A7" s="7" t="s">
        <v>6</v>
      </c>
      <c r="B7" s="10"/>
      <c r="C7" s="85"/>
      <c r="D7" s="85" t="e">
        <f t="shared" ref="D7:K7" si="1">(D6/C6)-1</f>
        <v>#DIV/0!</v>
      </c>
      <c r="E7" s="85" t="e">
        <f t="shared" si="1"/>
        <v>#DIV/0!</v>
      </c>
      <c r="F7" s="8" t="e">
        <f t="shared" si="1"/>
        <v>#DIV/0!</v>
      </c>
      <c r="G7" s="8" t="e">
        <f t="shared" si="1"/>
        <v>#DIV/0!</v>
      </c>
      <c r="H7" s="8" t="e">
        <f t="shared" si="1"/>
        <v>#DIV/0!</v>
      </c>
      <c r="I7" s="8" t="e">
        <f t="shared" si="1"/>
        <v>#DIV/0!</v>
      </c>
      <c r="J7" s="8" t="e">
        <f t="shared" si="1"/>
        <v>#DIV/0!</v>
      </c>
      <c r="K7" s="8" t="e">
        <f t="shared" si="1"/>
        <v>#DIV/0!</v>
      </c>
      <c r="L7" s="59"/>
    </row>
    <row r="8" spans="1:12" x14ac:dyDescent="0.25">
      <c r="A8" s="4"/>
      <c r="B8" s="10"/>
      <c r="C8" s="85"/>
      <c r="D8" s="85"/>
      <c r="E8" s="85"/>
      <c r="F8" s="8"/>
      <c r="G8" s="8"/>
      <c r="H8" s="8"/>
      <c r="I8" s="8"/>
      <c r="J8" s="8"/>
      <c r="K8" s="8"/>
      <c r="L8" s="59"/>
    </row>
    <row r="9" spans="1:12" x14ac:dyDescent="0.25">
      <c r="A9" s="65" t="s">
        <v>7</v>
      </c>
      <c r="B9" s="2"/>
      <c r="C9" s="86"/>
      <c r="D9" s="86"/>
      <c r="E9" s="86"/>
      <c r="F9" s="36">
        <f>-F6*(1-F11)</f>
        <v>0</v>
      </c>
      <c r="G9" s="36">
        <f t="shared" ref="G9:J9" si="2">-G6*(1-G11)</f>
        <v>0</v>
      </c>
      <c r="H9" s="36">
        <f t="shared" si="2"/>
        <v>0</v>
      </c>
      <c r="I9" s="36">
        <f t="shared" si="2"/>
        <v>0</v>
      </c>
      <c r="J9" s="36">
        <f t="shared" si="2"/>
        <v>0</v>
      </c>
      <c r="K9" s="36">
        <f t="shared" ref="K9" si="3">-K6*(1-K11)</f>
        <v>0</v>
      </c>
      <c r="L9" s="59"/>
    </row>
    <row r="10" spans="1:12" x14ac:dyDescent="0.25">
      <c r="A10" s="1" t="s">
        <v>8</v>
      </c>
      <c r="B10" s="10"/>
      <c r="C10" s="87">
        <f t="shared" ref="C10:D10" si="4">C6+C9</f>
        <v>0</v>
      </c>
      <c r="D10" s="87">
        <f t="shared" si="4"/>
        <v>0</v>
      </c>
      <c r="E10" s="87">
        <f t="shared" ref="E10:J10" si="5">E6+E9</f>
        <v>0</v>
      </c>
      <c r="F10" s="10">
        <f t="shared" si="5"/>
        <v>0</v>
      </c>
      <c r="G10" s="10">
        <f t="shared" si="5"/>
        <v>0</v>
      </c>
      <c r="H10" s="10">
        <f t="shared" si="5"/>
        <v>0</v>
      </c>
      <c r="I10" s="10">
        <f t="shared" si="5"/>
        <v>0</v>
      </c>
      <c r="J10" s="10">
        <f t="shared" si="5"/>
        <v>0</v>
      </c>
      <c r="K10" s="10">
        <f t="shared" ref="K10" si="6">K6+K9</f>
        <v>0</v>
      </c>
      <c r="L10" s="60"/>
    </row>
    <row r="11" spans="1:12" x14ac:dyDescent="0.25">
      <c r="A11" s="7" t="s">
        <v>9</v>
      </c>
      <c r="B11" s="39"/>
      <c r="C11" s="88" t="e">
        <f>C52</f>
        <v>#DIV/0!</v>
      </c>
      <c r="D11" s="88" t="e">
        <f>D52</f>
        <v>#DIV/0!</v>
      </c>
      <c r="E11" s="88" t="e">
        <f>E52</f>
        <v>#DIV/0!</v>
      </c>
      <c r="F11" s="11">
        <f>F52</f>
        <v>0</v>
      </c>
      <c r="G11" s="11">
        <f t="shared" ref="G11:J11" si="7">G52</f>
        <v>0</v>
      </c>
      <c r="H11" s="11">
        <f t="shared" si="7"/>
        <v>0</v>
      </c>
      <c r="I11" s="11">
        <f t="shared" si="7"/>
        <v>0</v>
      </c>
      <c r="J11" s="11">
        <f t="shared" si="7"/>
        <v>0</v>
      </c>
      <c r="K11" s="11">
        <f t="shared" ref="K11" si="8">K52</f>
        <v>0</v>
      </c>
      <c r="L11" s="61"/>
    </row>
    <row r="12" spans="1:12" x14ac:dyDescent="0.25">
      <c r="A12" s="7"/>
      <c r="B12" s="39"/>
      <c r="C12" s="88"/>
      <c r="D12" s="88"/>
      <c r="E12" s="88"/>
      <c r="F12" s="11"/>
      <c r="G12" s="11"/>
      <c r="H12" s="11"/>
      <c r="I12" s="11"/>
      <c r="J12" s="11"/>
      <c r="K12" s="11"/>
      <c r="L12" s="61"/>
    </row>
    <row r="13" spans="1:12" x14ac:dyDescent="0.25">
      <c r="A13" s="1" t="s">
        <v>10</v>
      </c>
      <c r="B13" s="39"/>
      <c r="C13" s="88"/>
      <c r="D13" s="88"/>
      <c r="E13" s="88"/>
      <c r="F13" s="11"/>
      <c r="G13" s="11"/>
      <c r="H13" s="11"/>
      <c r="I13" s="11"/>
      <c r="J13" s="11"/>
      <c r="K13" s="11"/>
      <c r="L13" s="61"/>
    </row>
    <row r="14" spans="1:12" x14ac:dyDescent="0.25">
      <c r="A14" s="4" t="s">
        <v>11</v>
      </c>
      <c r="B14" s="2"/>
      <c r="C14" s="89"/>
      <c r="D14" s="89"/>
      <c r="E14" s="89"/>
      <c r="F14" s="3" t="e">
        <f>-F66</f>
        <v>#DIV/0!</v>
      </c>
      <c r="G14" s="3" t="e">
        <f t="shared" ref="G14:J14" si="9">-G66</f>
        <v>#DIV/0!</v>
      </c>
      <c r="H14" s="3" t="e">
        <f t="shared" si="9"/>
        <v>#DIV/0!</v>
      </c>
      <c r="I14" s="3" t="e">
        <f t="shared" si="9"/>
        <v>#DIV/0!</v>
      </c>
      <c r="J14" s="3" t="e">
        <f t="shared" si="9"/>
        <v>#DIV/0!</v>
      </c>
      <c r="K14" s="3" t="e">
        <f t="shared" ref="K14" si="10">-K66</f>
        <v>#DIV/0!</v>
      </c>
      <c r="L14" s="59"/>
    </row>
    <row r="15" spans="1:12" x14ac:dyDescent="0.25">
      <c r="A15" s="4" t="s">
        <v>12</v>
      </c>
      <c r="B15" s="2"/>
      <c r="C15" s="89"/>
      <c r="D15" s="89"/>
      <c r="E15" s="89"/>
      <c r="F15" s="3" t="e">
        <f>F14*F57</f>
        <v>#DIV/0!</v>
      </c>
      <c r="G15" s="3" t="e">
        <f t="shared" ref="G15:J15" si="11">G14*G57</f>
        <v>#DIV/0!</v>
      </c>
      <c r="H15" s="3" t="e">
        <f t="shared" si="11"/>
        <v>#DIV/0!</v>
      </c>
      <c r="I15" s="3" t="e">
        <f t="shared" si="11"/>
        <v>#DIV/0!</v>
      </c>
      <c r="J15" s="3" t="e">
        <f t="shared" si="11"/>
        <v>#DIV/0!</v>
      </c>
      <c r="K15" s="3" t="e">
        <f t="shared" ref="K15" si="12">K14*K57</f>
        <v>#DIV/0!</v>
      </c>
      <c r="L15" s="59"/>
    </row>
    <row r="16" spans="1:12" x14ac:dyDescent="0.25">
      <c r="A16" s="4" t="s">
        <v>13</v>
      </c>
      <c r="B16" s="2"/>
      <c r="C16" s="89"/>
      <c r="D16" s="89"/>
      <c r="E16" s="89"/>
      <c r="F16" s="3" t="e">
        <f>F14*F58</f>
        <v>#DIV/0!</v>
      </c>
      <c r="G16" s="3" t="e">
        <f t="shared" ref="G16:J16" si="13">G14*G58</f>
        <v>#DIV/0!</v>
      </c>
      <c r="H16" s="3" t="e">
        <f>H14*H58</f>
        <v>#DIV/0!</v>
      </c>
      <c r="I16" s="3" t="e">
        <f t="shared" si="13"/>
        <v>#DIV/0!</v>
      </c>
      <c r="J16" s="3" t="e">
        <f t="shared" si="13"/>
        <v>#DIV/0!</v>
      </c>
      <c r="K16" s="3" t="e">
        <f t="shared" ref="K16" si="14">K14*K58</f>
        <v>#DIV/0!</v>
      </c>
      <c r="L16" s="59"/>
    </row>
    <row r="17" spans="1:12" x14ac:dyDescent="0.25">
      <c r="A17" s="4" t="s">
        <v>14</v>
      </c>
      <c r="B17" s="2"/>
      <c r="C17" s="89"/>
      <c r="D17" s="89"/>
      <c r="E17" s="89"/>
      <c r="F17" s="3" t="e">
        <f>F14*F59</f>
        <v>#DIV/0!</v>
      </c>
      <c r="G17" s="3" t="e">
        <f t="shared" ref="G17:J17" si="15">G14*G59</f>
        <v>#DIV/0!</v>
      </c>
      <c r="H17" s="3" t="e">
        <f t="shared" si="15"/>
        <v>#DIV/0!</v>
      </c>
      <c r="I17" s="3" t="e">
        <f t="shared" si="15"/>
        <v>#DIV/0!</v>
      </c>
      <c r="J17" s="3" t="e">
        <f t="shared" si="15"/>
        <v>#DIV/0!</v>
      </c>
      <c r="K17" s="3" t="e">
        <f t="shared" ref="K17" si="16">K14*K59</f>
        <v>#DIV/0!</v>
      </c>
      <c r="L17" s="59"/>
    </row>
    <row r="18" spans="1:12" x14ac:dyDescent="0.25">
      <c r="A18" s="4" t="s">
        <v>15</v>
      </c>
      <c r="B18" s="2"/>
      <c r="C18" s="86"/>
      <c r="D18" s="86"/>
      <c r="E18" s="86"/>
      <c r="F18" s="36">
        <f>-F60</f>
        <v>0</v>
      </c>
      <c r="G18" s="36">
        <f t="shared" ref="G18:J18" si="17">-G60</f>
        <v>0</v>
      </c>
      <c r="H18" s="36">
        <f t="shared" si="17"/>
        <v>0</v>
      </c>
      <c r="I18" s="36">
        <f t="shared" si="17"/>
        <v>0</v>
      </c>
      <c r="J18" s="36">
        <f t="shared" si="17"/>
        <v>0</v>
      </c>
      <c r="K18" s="36">
        <f t="shared" ref="K18" si="18">-K60</f>
        <v>0</v>
      </c>
      <c r="L18" s="59"/>
    </row>
    <row r="19" spans="1:12" x14ac:dyDescent="0.25">
      <c r="A19" s="12" t="s">
        <v>16</v>
      </c>
      <c r="B19" s="2"/>
      <c r="C19" s="84">
        <f t="shared" ref="C19:D19" si="19">SUM(C15:C18)+C14</f>
        <v>0</v>
      </c>
      <c r="D19" s="84">
        <f t="shared" si="19"/>
        <v>0</v>
      </c>
      <c r="E19" s="84">
        <f t="shared" ref="E19:J19" si="20">SUM(E15:E18)+E14</f>
        <v>0</v>
      </c>
      <c r="F19" s="6" t="e">
        <f t="shared" si="20"/>
        <v>#DIV/0!</v>
      </c>
      <c r="G19" s="6" t="e">
        <f t="shared" si="20"/>
        <v>#DIV/0!</v>
      </c>
      <c r="H19" s="6" t="e">
        <f t="shared" si="20"/>
        <v>#DIV/0!</v>
      </c>
      <c r="I19" s="6" t="e">
        <f t="shared" si="20"/>
        <v>#DIV/0!</v>
      </c>
      <c r="J19" s="6" t="e">
        <f t="shared" si="20"/>
        <v>#DIV/0!</v>
      </c>
      <c r="K19" s="6" t="e">
        <f t="shared" ref="K19" si="21">SUM(K15:K18)+K14</f>
        <v>#DIV/0!</v>
      </c>
      <c r="L19" s="59"/>
    </row>
    <row r="20" spans="1:12" x14ac:dyDescent="0.25">
      <c r="A20" s="1"/>
      <c r="B20" s="2"/>
      <c r="C20" s="85"/>
      <c r="D20" s="85"/>
      <c r="E20" s="85"/>
      <c r="F20" s="8"/>
      <c r="G20" s="13"/>
      <c r="H20" s="8"/>
      <c r="I20" s="8"/>
      <c r="J20" s="8"/>
      <c r="K20" s="8"/>
      <c r="L20" s="59"/>
    </row>
    <row r="21" spans="1:12" x14ac:dyDescent="0.25">
      <c r="A21" s="12" t="s">
        <v>17</v>
      </c>
      <c r="B21" s="2"/>
      <c r="C21" s="89"/>
      <c r="D21" s="89"/>
      <c r="E21" s="89"/>
      <c r="F21" s="3"/>
      <c r="G21" s="3"/>
      <c r="H21" s="3"/>
      <c r="I21" s="3"/>
      <c r="J21" s="3"/>
      <c r="K21" s="3"/>
      <c r="L21" s="59"/>
    </row>
    <row r="22" spans="1:12" x14ac:dyDescent="0.25">
      <c r="A22" s="4" t="s">
        <v>18</v>
      </c>
      <c r="B22" s="2"/>
      <c r="C22" s="90"/>
      <c r="D22" s="90"/>
      <c r="E22" s="90"/>
      <c r="F22" s="2">
        <f t="shared" ref="F22:K22" si="22">E22*(1+F69)</f>
        <v>0</v>
      </c>
      <c r="G22" s="2">
        <f t="shared" si="22"/>
        <v>0</v>
      </c>
      <c r="H22" s="2">
        <f t="shared" si="22"/>
        <v>0</v>
      </c>
      <c r="I22" s="2">
        <f t="shared" si="22"/>
        <v>0</v>
      </c>
      <c r="J22" s="2">
        <f t="shared" si="22"/>
        <v>0</v>
      </c>
      <c r="K22" s="2">
        <f t="shared" si="22"/>
        <v>0</v>
      </c>
      <c r="L22" s="59"/>
    </row>
    <row r="23" spans="1:12" x14ac:dyDescent="0.25">
      <c r="A23" s="4" t="s">
        <v>19</v>
      </c>
      <c r="B23" s="2"/>
      <c r="C23" s="89"/>
      <c r="D23" s="89"/>
      <c r="E23" s="89"/>
      <c r="F23" s="3">
        <f t="shared" ref="F23:K23" si="23">F6*-F70</f>
        <v>0</v>
      </c>
      <c r="G23" s="3">
        <f t="shared" si="23"/>
        <v>0</v>
      </c>
      <c r="H23" s="3">
        <f t="shared" si="23"/>
        <v>0</v>
      </c>
      <c r="I23" s="3">
        <f t="shared" si="23"/>
        <v>0</v>
      </c>
      <c r="J23" s="3">
        <f t="shared" si="23"/>
        <v>0</v>
      </c>
      <c r="K23" s="3">
        <f t="shared" si="23"/>
        <v>0</v>
      </c>
      <c r="L23" s="59"/>
    </row>
    <row r="24" spans="1:12" x14ac:dyDescent="0.25">
      <c r="A24" s="4" t="s">
        <v>20</v>
      </c>
      <c r="B24" s="2"/>
      <c r="C24" s="89"/>
      <c r="D24" s="89"/>
      <c r="E24" s="89"/>
      <c r="F24" s="3">
        <f t="shared" ref="F24:K24" si="24">-F6*F71</f>
        <v>0</v>
      </c>
      <c r="G24" s="3">
        <f>-G6*G71</f>
        <v>0</v>
      </c>
      <c r="H24" s="3">
        <f t="shared" si="24"/>
        <v>0</v>
      </c>
      <c r="I24" s="3">
        <f t="shared" si="24"/>
        <v>0</v>
      </c>
      <c r="J24" s="3">
        <f>-J6*J71</f>
        <v>0</v>
      </c>
      <c r="K24" s="3">
        <f t="shared" si="24"/>
        <v>0</v>
      </c>
      <c r="L24" s="59"/>
    </row>
    <row r="25" spans="1:12" x14ac:dyDescent="0.25">
      <c r="A25" s="4" t="s">
        <v>21</v>
      </c>
      <c r="B25" s="2"/>
      <c r="C25" s="89"/>
      <c r="D25" s="89"/>
      <c r="E25" s="89"/>
      <c r="F25" s="3" t="e">
        <f t="shared" ref="F25:K25" si="25">F14*F73</f>
        <v>#DIV/0!</v>
      </c>
      <c r="G25" s="3" t="e">
        <f t="shared" si="25"/>
        <v>#DIV/0!</v>
      </c>
      <c r="H25" s="3" t="e">
        <f t="shared" si="25"/>
        <v>#DIV/0!</v>
      </c>
      <c r="I25" s="3" t="e">
        <f t="shared" si="25"/>
        <v>#DIV/0!</v>
      </c>
      <c r="J25" s="3" t="e">
        <f t="shared" si="25"/>
        <v>#DIV/0!</v>
      </c>
      <c r="K25" s="3" t="e">
        <f t="shared" si="25"/>
        <v>#DIV/0!</v>
      </c>
      <c r="L25" s="59"/>
    </row>
    <row r="26" spans="1:12" x14ac:dyDescent="0.25">
      <c r="A26" s="4" t="s">
        <v>22</v>
      </c>
      <c r="B26" s="2"/>
      <c r="C26" s="89"/>
      <c r="D26" s="89"/>
      <c r="E26" s="89"/>
      <c r="F26" s="3">
        <f t="shared" ref="F26:K26" si="26">-F6*F72</f>
        <v>0</v>
      </c>
      <c r="G26" s="3">
        <f t="shared" si="26"/>
        <v>0</v>
      </c>
      <c r="H26" s="3">
        <f t="shared" si="26"/>
        <v>0</v>
      </c>
      <c r="I26" s="3">
        <f t="shared" si="26"/>
        <v>0</v>
      </c>
      <c r="J26" s="3">
        <f t="shared" si="26"/>
        <v>0</v>
      </c>
      <c r="K26" s="3">
        <f t="shared" si="26"/>
        <v>0</v>
      </c>
      <c r="L26" s="59"/>
    </row>
    <row r="27" spans="1:12" x14ac:dyDescent="0.25">
      <c r="A27" s="4" t="s">
        <v>23</v>
      </c>
      <c r="B27" s="2"/>
      <c r="C27" s="89"/>
      <c r="D27" s="89"/>
      <c r="E27" s="89"/>
      <c r="F27" s="3">
        <f t="shared" ref="F27:K27" si="27">-F6*F74</f>
        <v>0</v>
      </c>
      <c r="G27" s="3">
        <f t="shared" si="27"/>
        <v>0</v>
      </c>
      <c r="H27" s="3">
        <f t="shared" si="27"/>
        <v>0</v>
      </c>
      <c r="I27" s="3">
        <f t="shared" si="27"/>
        <v>0</v>
      </c>
      <c r="J27" s="3">
        <f t="shared" si="27"/>
        <v>0</v>
      </c>
      <c r="K27" s="3">
        <f t="shared" si="27"/>
        <v>0</v>
      </c>
      <c r="L27" s="59"/>
    </row>
    <row r="28" spans="1:12" x14ac:dyDescent="0.25">
      <c r="A28" s="4" t="s">
        <v>24</v>
      </c>
      <c r="B28" s="2"/>
      <c r="C28" s="86"/>
      <c r="D28" s="86"/>
      <c r="E28" s="86"/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59"/>
    </row>
    <row r="29" spans="1:12" x14ac:dyDescent="0.25">
      <c r="A29" s="12" t="s">
        <v>25</v>
      </c>
      <c r="B29" s="2"/>
      <c r="C29" s="91">
        <f t="shared" ref="C29:D29" si="28">SUM(C22:C28)</f>
        <v>0</v>
      </c>
      <c r="D29" s="91">
        <f t="shared" si="28"/>
        <v>0</v>
      </c>
      <c r="E29" s="91">
        <f t="shared" ref="E29:J29" si="29">SUM(E22:E28)</f>
        <v>0</v>
      </c>
      <c r="F29" s="77" t="e">
        <f t="shared" si="29"/>
        <v>#DIV/0!</v>
      </c>
      <c r="G29" s="77" t="e">
        <f t="shared" si="29"/>
        <v>#DIV/0!</v>
      </c>
      <c r="H29" s="77" t="e">
        <f t="shared" si="29"/>
        <v>#DIV/0!</v>
      </c>
      <c r="I29" s="77" t="e">
        <f t="shared" si="29"/>
        <v>#DIV/0!</v>
      </c>
      <c r="J29" s="77" t="e">
        <f t="shared" si="29"/>
        <v>#DIV/0!</v>
      </c>
      <c r="K29" s="77" t="e">
        <f t="shared" ref="K29" si="30">SUM(K22:K28)</f>
        <v>#DIV/0!</v>
      </c>
      <c r="L29" s="59"/>
    </row>
    <row r="30" spans="1:12" x14ac:dyDescent="0.25">
      <c r="A30" s="4"/>
      <c r="B30" s="2"/>
      <c r="C30" s="89"/>
      <c r="D30" s="89"/>
      <c r="E30" s="89"/>
      <c r="F30" s="3"/>
      <c r="G30" s="3"/>
      <c r="H30" s="3"/>
      <c r="I30" s="3"/>
      <c r="J30" s="3"/>
      <c r="K30" s="3"/>
      <c r="L30" s="59"/>
    </row>
    <row r="31" spans="1:12" x14ac:dyDescent="0.25">
      <c r="A31" s="1" t="s">
        <v>26</v>
      </c>
      <c r="B31" s="2"/>
      <c r="C31" s="89">
        <f t="shared" ref="C31:D31" si="31">C19+C29</f>
        <v>0</v>
      </c>
      <c r="D31" s="89">
        <f t="shared" si="31"/>
        <v>0</v>
      </c>
      <c r="E31" s="89">
        <f t="shared" ref="E31:J31" si="32">E19+E29</f>
        <v>0</v>
      </c>
      <c r="F31" s="3" t="e">
        <f t="shared" si="32"/>
        <v>#DIV/0!</v>
      </c>
      <c r="G31" s="3" t="e">
        <f>G19+G29</f>
        <v>#DIV/0!</v>
      </c>
      <c r="H31" s="3" t="e">
        <f t="shared" si="32"/>
        <v>#DIV/0!</v>
      </c>
      <c r="I31" s="3" t="e">
        <f t="shared" si="32"/>
        <v>#DIV/0!</v>
      </c>
      <c r="J31" s="3" t="e">
        <f t="shared" si="32"/>
        <v>#DIV/0!</v>
      </c>
      <c r="K31" s="3" t="e">
        <f t="shared" ref="K31" si="33">K19+K29</f>
        <v>#DIV/0!</v>
      </c>
      <c r="L31" s="59"/>
    </row>
    <row r="32" spans="1:12" x14ac:dyDescent="0.25">
      <c r="A32" s="1"/>
      <c r="B32" s="2"/>
      <c r="C32" s="89"/>
      <c r="D32" s="89"/>
      <c r="E32" s="89"/>
      <c r="F32" s="3"/>
      <c r="G32" s="3"/>
      <c r="H32" s="3"/>
      <c r="I32" s="3"/>
      <c r="J32" s="3"/>
      <c r="K32" s="3"/>
      <c r="L32" s="59"/>
    </row>
    <row r="33" spans="1:12" x14ac:dyDescent="0.25">
      <c r="A33" s="1" t="s">
        <v>27</v>
      </c>
      <c r="B33" s="10"/>
      <c r="C33" s="84">
        <f t="shared" ref="C33:D33" si="34">C10+C31</f>
        <v>0</v>
      </c>
      <c r="D33" s="84">
        <f t="shared" si="34"/>
        <v>0</v>
      </c>
      <c r="E33" s="84">
        <f t="shared" ref="E33:J33" si="35">E10+E31</f>
        <v>0</v>
      </c>
      <c r="F33" s="6" t="e">
        <f t="shared" si="35"/>
        <v>#DIV/0!</v>
      </c>
      <c r="G33" s="6" t="e">
        <f t="shared" si="35"/>
        <v>#DIV/0!</v>
      </c>
      <c r="H33" s="6" t="e">
        <f t="shared" si="35"/>
        <v>#DIV/0!</v>
      </c>
      <c r="I33" s="6" t="e">
        <f t="shared" si="35"/>
        <v>#DIV/0!</v>
      </c>
      <c r="J33" s="6" t="e">
        <f t="shared" si="35"/>
        <v>#DIV/0!</v>
      </c>
      <c r="K33" s="6" t="e">
        <f t="shared" ref="K33" si="36">K10+K31</f>
        <v>#DIV/0!</v>
      </c>
      <c r="L33" s="59"/>
    </row>
    <row r="34" spans="1:12" x14ac:dyDescent="0.25">
      <c r="A34" s="7" t="s">
        <v>28</v>
      </c>
      <c r="B34" s="10"/>
      <c r="C34" s="85" t="e">
        <f t="shared" ref="C34:D34" si="37">C33/C6</f>
        <v>#DIV/0!</v>
      </c>
      <c r="D34" s="85" t="e">
        <f t="shared" si="37"/>
        <v>#DIV/0!</v>
      </c>
      <c r="E34" s="85" t="e">
        <f t="shared" ref="E34:J34" si="38">E33/E6</f>
        <v>#DIV/0!</v>
      </c>
      <c r="F34" s="8" t="e">
        <f t="shared" si="38"/>
        <v>#DIV/0!</v>
      </c>
      <c r="G34" s="8" t="e">
        <f t="shared" si="38"/>
        <v>#DIV/0!</v>
      </c>
      <c r="H34" s="8" t="e">
        <f t="shared" si="38"/>
        <v>#DIV/0!</v>
      </c>
      <c r="I34" s="8" t="e">
        <f t="shared" si="38"/>
        <v>#DIV/0!</v>
      </c>
      <c r="J34" s="8" t="e">
        <f t="shared" si="38"/>
        <v>#DIV/0!</v>
      </c>
      <c r="K34" s="8" t="e">
        <f t="shared" ref="K34" si="39">K33/K6</f>
        <v>#DIV/0!</v>
      </c>
      <c r="L34" s="59"/>
    </row>
    <row r="35" spans="1:12" x14ac:dyDescent="0.25">
      <c r="A35" s="4"/>
      <c r="B35" s="2"/>
      <c r="C35" s="92"/>
      <c r="D35" s="92"/>
      <c r="E35" s="92"/>
      <c r="F35" s="16"/>
      <c r="G35" s="15"/>
      <c r="H35" s="16"/>
      <c r="I35" s="15"/>
      <c r="J35" s="15"/>
      <c r="K35" s="15"/>
      <c r="L35" s="59"/>
    </row>
    <row r="36" spans="1:12" x14ac:dyDescent="0.25">
      <c r="A36" s="4" t="s">
        <v>29</v>
      </c>
      <c r="B36" s="2"/>
      <c r="C36" s="89"/>
      <c r="D36" s="89"/>
      <c r="E36" s="89"/>
      <c r="F36" s="3"/>
      <c r="G36" s="3"/>
      <c r="H36" s="3"/>
      <c r="I36" s="3"/>
      <c r="J36" s="3"/>
      <c r="K36" s="3"/>
      <c r="L36" s="59"/>
    </row>
    <row r="37" spans="1:12" x14ac:dyDescent="0.25">
      <c r="A37" s="4" t="s">
        <v>30</v>
      </c>
      <c r="B37" s="2"/>
      <c r="C37" s="86">
        <v>0</v>
      </c>
      <c r="D37" s="86">
        <v>0</v>
      </c>
      <c r="E37" s="86">
        <v>0</v>
      </c>
      <c r="F37" s="36">
        <f>E37</f>
        <v>0</v>
      </c>
      <c r="G37" s="36">
        <f>F37</f>
        <v>0</v>
      </c>
      <c r="H37" s="36">
        <f t="shared" ref="H37:K37" si="40">G37</f>
        <v>0</v>
      </c>
      <c r="I37" s="36">
        <f t="shared" si="40"/>
        <v>0</v>
      </c>
      <c r="J37" s="36">
        <f t="shared" si="40"/>
        <v>0</v>
      </c>
      <c r="K37" s="36">
        <f t="shared" si="40"/>
        <v>0</v>
      </c>
      <c r="L37" s="59"/>
    </row>
    <row r="38" spans="1:12" x14ac:dyDescent="0.25">
      <c r="A38" s="1" t="s">
        <v>31</v>
      </c>
      <c r="B38" s="2"/>
      <c r="C38" s="84">
        <f>C33+SUM(C36:C37)</f>
        <v>0</v>
      </c>
      <c r="D38" s="84">
        <f>D33+SUM(D36:D37)</f>
        <v>0</v>
      </c>
      <c r="E38" s="84">
        <f>E33+SUM(E36:E37)</f>
        <v>0</v>
      </c>
      <c r="F38" s="6" t="e">
        <f t="shared" ref="F38:J38" si="41">F33+SUM(F36:F37)</f>
        <v>#DIV/0!</v>
      </c>
      <c r="G38" s="6" t="e">
        <f t="shared" si="41"/>
        <v>#DIV/0!</v>
      </c>
      <c r="H38" s="6" t="e">
        <f t="shared" si="41"/>
        <v>#DIV/0!</v>
      </c>
      <c r="I38" s="6" t="e">
        <f t="shared" si="41"/>
        <v>#DIV/0!</v>
      </c>
      <c r="J38" s="6" t="e">
        <f t="shared" si="41"/>
        <v>#DIV/0!</v>
      </c>
      <c r="K38" s="6" t="e">
        <f t="shared" ref="K38" si="42">K33+SUM(K36:K37)</f>
        <v>#DIV/0!</v>
      </c>
      <c r="L38" s="59"/>
    </row>
    <row r="39" spans="1:12" x14ac:dyDescent="0.25">
      <c r="A39" s="7" t="s">
        <v>32</v>
      </c>
      <c r="B39" s="2"/>
      <c r="C39" s="85" t="e">
        <f t="shared" ref="C39:D39" si="43">C38/C6</f>
        <v>#DIV/0!</v>
      </c>
      <c r="D39" s="85" t="e">
        <f t="shared" si="43"/>
        <v>#DIV/0!</v>
      </c>
      <c r="E39" s="85" t="e">
        <f t="shared" ref="E39:J39" si="44">E38/E6</f>
        <v>#DIV/0!</v>
      </c>
      <c r="F39" s="8" t="e">
        <f t="shared" si="44"/>
        <v>#DIV/0!</v>
      </c>
      <c r="G39" s="8" t="e">
        <f t="shared" si="44"/>
        <v>#DIV/0!</v>
      </c>
      <c r="H39" s="8" t="e">
        <f t="shared" si="44"/>
        <v>#DIV/0!</v>
      </c>
      <c r="I39" s="8" t="e">
        <f t="shared" si="44"/>
        <v>#DIV/0!</v>
      </c>
      <c r="J39" s="8" t="e">
        <f t="shared" si="44"/>
        <v>#DIV/0!</v>
      </c>
      <c r="K39" s="8" t="e">
        <f t="shared" ref="K39" si="45">K38/K6</f>
        <v>#DIV/0!</v>
      </c>
      <c r="L39" s="59"/>
    </row>
    <row r="40" spans="1:12" x14ac:dyDescent="0.25">
      <c r="A40" s="4"/>
      <c r="B40" s="2"/>
      <c r="C40" s="90"/>
      <c r="D40" s="90"/>
      <c r="E40" s="90"/>
      <c r="F40" s="2"/>
      <c r="G40" s="2"/>
      <c r="H40" s="2"/>
      <c r="I40" s="2"/>
      <c r="J40" s="2"/>
      <c r="K40" s="2"/>
      <c r="L40" s="59"/>
    </row>
    <row r="41" spans="1:12" x14ac:dyDescent="0.25">
      <c r="A41" s="4" t="s">
        <v>33</v>
      </c>
      <c r="B41" s="2"/>
      <c r="C41" s="89"/>
      <c r="D41" s="89"/>
      <c r="E41" s="89"/>
      <c r="F41" s="3">
        <f>E41</f>
        <v>0</v>
      </c>
      <c r="G41" s="3">
        <f t="shared" ref="G41:K41" si="46">F41</f>
        <v>0</v>
      </c>
      <c r="H41" s="3">
        <f t="shared" si="46"/>
        <v>0</v>
      </c>
      <c r="I41" s="3">
        <f t="shared" si="46"/>
        <v>0</v>
      </c>
      <c r="J41" s="3">
        <f t="shared" si="46"/>
        <v>0</v>
      </c>
      <c r="K41" s="3">
        <f t="shared" si="46"/>
        <v>0</v>
      </c>
      <c r="L41" s="59"/>
    </row>
    <row r="42" spans="1:12" x14ac:dyDescent="0.25">
      <c r="A42" s="4" t="s">
        <v>34</v>
      </c>
      <c r="B42" s="17">
        <v>0.25</v>
      </c>
      <c r="C42" s="86"/>
      <c r="D42" s="86"/>
      <c r="E42" s="86"/>
      <c r="F42" s="36" t="e">
        <f t="shared" ref="F42:K42" si="47">(IF(((F38-F80)+F41)&lt;$B$78,((F38-F80)+F41)*F78,($B$78*F78)+(((F38-F80)+F41-$B$78)*F79)))*-1</f>
        <v>#DIV/0!</v>
      </c>
      <c r="G42" s="36" t="e">
        <f t="shared" si="47"/>
        <v>#DIV/0!</v>
      </c>
      <c r="H42" s="36" t="e">
        <f t="shared" si="47"/>
        <v>#DIV/0!</v>
      </c>
      <c r="I42" s="36" t="e">
        <f t="shared" si="47"/>
        <v>#DIV/0!</v>
      </c>
      <c r="J42" s="36" t="e">
        <f t="shared" si="47"/>
        <v>#DIV/0!</v>
      </c>
      <c r="K42" s="36" t="e">
        <f t="shared" si="47"/>
        <v>#DIV/0!</v>
      </c>
      <c r="L42" s="59"/>
    </row>
    <row r="43" spans="1:12" x14ac:dyDescent="0.25">
      <c r="A43" s="1" t="s">
        <v>35</v>
      </c>
      <c r="B43" s="10"/>
      <c r="C43" s="84">
        <f t="shared" ref="C43:D43" si="48">C38+SUM(C41:C42)</f>
        <v>0</v>
      </c>
      <c r="D43" s="84">
        <f t="shared" si="48"/>
        <v>0</v>
      </c>
      <c r="E43" s="84">
        <f t="shared" ref="E43:J43" si="49">E38+SUM(E41:E42)</f>
        <v>0</v>
      </c>
      <c r="F43" s="6" t="e">
        <f t="shared" si="49"/>
        <v>#DIV/0!</v>
      </c>
      <c r="G43" s="6" t="e">
        <f t="shared" si="49"/>
        <v>#DIV/0!</v>
      </c>
      <c r="H43" s="6" t="e">
        <f t="shared" si="49"/>
        <v>#DIV/0!</v>
      </c>
      <c r="I43" s="6" t="e">
        <f t="shared" si="49"/>
        <v>#DIV/0!</v>
      </c>
      <c r="J43" s="6" t="e">
        <f t="shared" si="49"/>
        <v>#DIV/0!</v>
      </c>
      <c r="K43" s="6" t="e">
        <f t="shared" ref="K43" si="50">K38+SUM(K41:K42)</f>
        <v>#DIV/0!</v>
      </c>
      <c r="L43" s="59"/>
    </row>
    <row r="44" spans="1:12" x14ac:dyDescent="0.25">
      <c r="A44" s="7" t="s">
        <v>117</v>
      </c>
      <c r="B44" s="7"/>
      <c r="C44" s="93" t="e">
        <f>C43/C6</f>
        <v>#DIV/0!</v>
      </c>
      <c r="D44" s="93" t="e">
        <f>D43/D6</f>
        <v>#DIV/0!</v>
      </c>
      <c r="E44" s="93" t="e">
        <f>E43/E6</f>
        <v>#DIV/0!</v>
      </c>
      <c r="F44" s="66" t="e">
        <f t="shared" ref="F44:J44" si="51">F43/F6</f>
        <v>#DIV/0!</v>
      </c>
      <c r="G44" s="66" t="e">
        <f t="shared" si="51"/>
        <v>#DIV/0!</v>
      </c>
      <c r="H44" s="66" t="e">
        <f t="shared" si="51"/>
        <v>#DIV/0!</v>
      </c>
      <c r="I44" s="66" t="e">
        <f t="shared" si="51"/>
        <v>#DIV/0!</v>
      </c>
      <c r="J44" s="66" t="e">
        <f t="shared" si="51"/>
        <v>#DIV/0!</v>
      </c>
      <c r="K44" s="66" t="e">
        <f t="shared" ref="K44" si="52">K43/K6</f>
        <v>#DIV/0!</v>
      </c>
      <c r="L44" s="59"/>
    </row>
    <row r="45" spans="1:12" x14ac:dyDescent="0.25">
      <c r="A45" s="7"/>
      <c r="B45" s="7"/>
      <c r="C45" s="66"/>
      <c r="D45" s="66"/>
      <c r="E45" s="66"/>
      <c r="F45" s="66"/>
      <c r="G45" s="66"/>
      <c r="H45" s="66"/>
      <c r="I45" s="66"/>
      <c r="J45" s="66"/>
      <c r="K45" s="66"/>
      <c r="L45" s="59"/>
    </row>
    <row r="46" spans="1:12" x14ac:dyDescent="0.25">
      <c r="A46" s="7"/>
      <c r="B46" s="7"/>
      <c r="C46" s="66"/>
      <c r="D46" s="66"/>
      <c r="E46" s="66"/>
      <c r="F46" s="66"/>
      <c r="G46" s="66"/>
      <c r="H46" s="66"/>
      <c r="I46" s="66"/>
      <c r="J46" s="66"/>
      <c r="K46" s="66"/>
      <c r="L46" s="59"/>
    </row>
    <row r="47" spans="1:12" x14ac:dyDescent="0.25">
      <c r="A47" s="71" t="s">
        <v>36</v>
      </c>
      <c r="B47" s="68"/>
      <c r="C47" s="68">
        <f>C4</f>
        <v>2022</v>
      </c>
      <c r="D47" s="68">
        <f>D4</f>
        <v>2023</v>
      </c>
      <c r="E47" s="68">
        <f>E4</f>
        <v>2024</v>
      </c>
      <c r="F47" s="68">
        <f>F4</f>
        <v>2025</v>
      </c>
      <c r="G47" s="68">
        <f t="shared" ref="G47:J47" si="53">G4</f>
        <v>2026</v>
      </c>
      <c r="H47" s="68">
        <f t="shared" si="53"/>
        <v>2027</v>
      </c>
      <c r="I47" s="68">
        <f t="shared" si="53"/>
        <v>2028</v>
      </c>
      <c r="J47" s="68">
        <f t="shared" si="53"/>
        <v>2029</v>
      </c>
      <c r="K47" s="68" t="str">
        <f t="shared" ref="K47" si="54">K4</f>
        <v>RP</v>
      </c>
      <c r="L47" s="59"/>
    </row>
    <row r="48" spans="1:12" x14ac:dyDescent="0.25">
      <c r="A48" s="70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59"/>
    </row>
    <row r="49" spans="1:12" x14ac:dyDescent="0.25">
      <c r="A49" s="20" t="s">
        <v>37</v>
      </c>
      <c r="B49" s="4"/>
      <c r="C49" s="74"/>
      <c r="D49" s="74"/>
      <c r="E49" s="74"/>
      <c r="F49" s="4"/>
      <c r="G49" s="4"/>
      <c r="H49" s="4"/>
      <c r="I49" s="4"/>
      <c r="J49" s="4"/>
      <c r="K49" s="4"/>
      <c r="L49" s="59"/>
    </row>
    <row r="50" spans="1:12" ht="15.75" thickBot="1" x14ac:dyDescent="0.3">
      <c r="A50" s="19" t="s">
        <v>38</v>
      </c>
      <c r="B50" s="3"/>
      <c r="C50" s="79">
        <v>0</v>
      </c>
      <c r="D50" s="51" t="e">
        <f>(D6/C6)-1</f>
        <v>#DIV/0!</v>
      </c>
      <c r="E50" s="51" t="e">
        <f>(E6/D6)-1</f>
        <v>#DIV/0!</v>
      </c>
      <c r="F50" s="50"/>
      <c r="G50" s="50"/>
      <c r="H50" s="50"/>
      <c r="I50" s="50"/>
      <c r="J50" s="50"/>
      <c r="K50" s="50"/>
      <c r="L50" s="59"/>
    </row>
    <row r="51" spans="1:12" ht="15.75" thickBot="1" x14ac:dyDescent="0.3">
      <c r="A51" s="19" t="s">
        <v>39</v>
      </c>
      <c r="B51" s="3"/>
      <c r="C51" s="51" t="e">
        <f>(C9-B9)/B9</f>
        <v>#DIV/0!</v>
      </c>
      <c r="D51" s="51" t="e">
        <f>(D9-C9)/C9</f>
        <v>#DIV/0!</v>
      </c>
      <c r="E51" s="51" t="e">
        <f>(E9-D9)/D9</f>
        <v>#DIV/0!</v>
      </c>
      <c r="F51" s="51" t="e">
        <f>(F9-E9)/E9</f>
        <v>#DIV/0!</v>
      </c>
      <c r="G51" s="51" t="e">
        <f t="shared" ref="G51:K51" si="55">(G9-F9)/F9</f>
        <v>#DIV/0!</v>
      </c>
      <c r="H51" s="51" t="e">
        <f t="shared" si="55"/>
        <v>#DIV/0!</v>
      </c>
      <c r="I51" s="51" t="e">
        <f t="shared" si="55"/>
        <v>#DIV/0!</v>
      </c>
      <c r="J51" s="51" t="e">
        <f t="shared" si="55"/>
        <v>#DIV/0!</v>
      </c>
      <c r="K51" s="51" t="e">
        <f t="shared" si="55"/>
        <v>#DIV/0!</v>
      </c>
      <c r="L51" s="59"/>
    </row>
    <row r="52" spans="1:12" ht="15.75" thickBot="1" x14ac:dyDescent="0.3">
      <c r="A52" s="19" t="s">
        <v>40</v>
      </c>
      <c r="B52" s="3"/>
      <c r="C52" s="51" t="e">
        <f>C10/C6</f>
        <v>#DIV/0!</v>
      </c>
      <c r="D52" s="51" t="e">
        <f>D10/D6</f>
        <v>#DIV/0!</v>
      </c>
      <c r="E52" s="51" t="e">
        <f>E10/E6</f>
        <v>#DIV/0!</v>
      </c>
      <c r="F52" s="50"/>
      <c r="G52" s="50"/>
      <c r="H52" s="50"/>
      <c r="I52" s="50"/>
      <c r="J52" s="50"/>
      <c r="K52" s="50"/>
      <c r="L52" s="59"/>
    </row>
    <row r="53" spans="1:12" x14ac:dyDescent="0.25">
      <c r="A53" s="19"/>
      <c r="B53" s="3"/>
      <c r="C53" s="18"/>
      <c r="D53" s="18"/>
      <c r="E53" s="18"/>
      <c r="F53" s="18"/>
      <c r="G53" s="18"/>
      <c r="H53" s="18"/>
      <c r="I53" s="18"/>
      <c r="J53" s="18"/>
      <c r="K53" s="18"/>
      <c r="L53" s="59"/>
    </row>
    <row r="54" spans="1:12" x14ac:dyDescent="0.25">
      <c r="A54" s="20" t="s">
        <v>10</v>
      </c>
      <c r="B54" s="3"/>
      <c r="C54" s="18"/>
      <c r="D54" s="18"/>
      <c r="E54" s="18"/>
      <c r="F54" s="14"/>
      <c r="G54" s="14"/>
      <c r="H54" s="14"/>
      <c r="I54" s="14"/>
      <c r="J54" s="14"/>
      <c r="K54" s="14"/>
      <c r="L54" s="59"/>
    </row>
    <row r="55" spans="1:12" ht="15.75" thickBot="1" x14ac:dyDescent="0.3">
      <c r="A55" s="19" t="s">
        <v>41</v>
      </c>
      <c r="B55" s="14"/>
      <c r="C55" s="79">
        <v>0</v>
      </c>
      <c r="D55" s="51" t="e">
        <f>(D14-C14)/C14</f>
        <v>#DIV/0!</v>
      </c>
      <c r="E55" s="51" t="e">
        <f>(E14-D14)/D14</f>
        <v>#DIV/0!</v>
      </c>
      <c r="F55" s="51" t="e">
        <f>(F14-E14)/E14</f>
        <v>#DIV/0!</v>
      </c>
      <c r="G55" s="51" t="e">
        <f t="shared" ref="G55:K55" si="56">(G14-F14)/F14</f>
        <v>#DIV/0!</v>
      </c>
      <c r="H55" s="51" t="e">
        <f t="shared" si="56"/>
        <v>#DIV/0!</v>
      </c>
      <c r="I55" s="51" t="e">
        <f t="shared" si="56"/>
        <v>#DIV/0!</v>
      </c>
      <c r="J55" s="51" t="e">
        <f t="shared" si="56"/>
        <v>#DIV/0!</v>
      </c>
      <c r="K55" s="51" t="e">
        <f t="shared" si="56"/>
        <v>#DIV/0!</v>
      </c>
      <c r="L55" s="59"/>
    </row>
    <row r="56" spans="1:12" ht="15.75" thickBot="1" x14ac:dyDescent="0.3">
      <c r="A56" s="19" t="s">
        <v>42</v>
      </c>
      <c r="B56" s="14"/>
      <c r="C56" s="51" t="e">
        <f t="shared" ref="C56:D56" si="57">-C14/C6</f>
        <v>#DIV/0!</v>
      </c>
      <c r="D56" s="51" t="e">
        <f t="shared" si="57"/>
        <v>#DIV/0!</v>
      </c>
      <c r="E56" s="51" t="e">
        <f t="shared" ref="E56:J56" si="58">-E14/E6</f>
        <v>#DIV/0!</v>
      </c>
      <c r="F56" s="78" t="e">
        <f t="shared" si="58"/>
        <v>#DIV/0!</v>
      </c>
      <c r="G56" s="78" t="e">
        <f>-G14/G6</f>
        <v>#DIV/0!</v>
      </c>
      <c r="H56" s="78" t="e">
        <f t="shared" si="58"/>
        <v>#DIV/0!</v>
      </c>
      <c r="I56" s="78" t="e">
        <f t="shared" si="58"/>
        <v>#DIV/0!</v>
      </c>
      <c r="J56" s="78" t="e">
        <f t="shared" si="58"/>
        <v>#DIV/0!</v>
      </c>
      <c r="K56" s="78" t="e">
        <f t="shared" ref="K56" si="59">-K14/K6</f>
        <v>#DIV/0!</v>
      </c>
      <c r="L56" s="59"/>
    </row>
    <row r="57" spans="1:12" ht="15.75" thickBot="1" x14ac:dyDescent="0.3">
      <c r="A57" s="19" t="s">
        <v>43</v>
      </c>
      <c r="B57" s="3"/>
      <c r="C57" s="51" t="e">
        <f>C15/C14</f>
        <v>#DIV/0!</v>
      </c>
      <c r="D57" s="51" t="e">
        <f>D15/D14</f>
        <v>#DIV/0!</v>
      </c>
      <c r="E57" s="51" t="e">
        <f>E15/E14</f>
        <v>#DIV/0!</v>
      </c>
      <c r="F57" s="50"/>
      <c r="G57" s="50"/>
      <c r="H57" s="50"/>
      <c r="I57" s="50"/>
      <c r="J57" s="50"/>
      <c r="K57" s="50"/>
      <c r="L57" s="59"/>
    </row>
    <row r="58" spans="1:12" ht="15.75" thickBot="1" x14ac:dyDescent="0.3">
      <c r="A58" s="19" t="s">
        <v>44</v>
      </c>
      <c r="B58" s="3"/>
      <c r="C58" s="51" t="e">
        <f>C16/C14</f>
        <v>#DIV/0!</v>
      </c>
      <c r="D58" s="51" t="e">
        <f>D16/D14</f>
        <v>#DIV/0!</v>
      </c>
      <c r="E58" s="51" t="e">
        <f>E16/E14</f>
        <v>#DIV/0!</v>
      </c>
      <c r="F58" s="50"/>
      <c r="G58" s="50"/>
      <c r="H58" s="50"/>
      <c r="I58" s="50"/>
      <c r="J58" s="50"/>
      <c r="K58" s="50"/>
      <c r="L58" s="59"/>
    </row>
    <row r="59" spans="1:12" ht="15.75" thickBot="1" x14ac:dyDescent="0.3">
      <c r="A59" s="19" t="s">
        <v>45</v>
      </c>
      <c r="B59" s="3"/>
      <c r="C59" s="51" t="e">
        <f>C17/C14</f>
        <v>#DIV/0!</v>
      </c>
      <c r="D59" s="51" t="e">
        <f>D17/D14</f>
        <v>#DIV/0!</v>
      </c>
      <c r="E59" s="51" t="e">
        <f>E17/E14</f>
        <v>#DIV/0!</v>
      </c>
      <c r="F59" s="50"/>
      <c r="G59" s="50"/>
      <c r="H59" s="50"/>
      <c r="I59" s="50"/>
      <c r="J59" s="50"/>
      <c r="K59" s="50"/>
      <c r="L59" s="59"/>
    </row>
    <row r="60" spans="1:12" ht="15.75" thickBot="1" x14ac:dyDescent="0.3">
      <c r="A60" s="19" t="s">
        <v>118</v>
      </c>
      <c r="B60" s="3"/>
      <c r="C60" s="79">
        <f>-C18</f>
        <v>0</v>
      </c>
      <c r="D60" s="79">
        <f>-D18</f>
        <v>0</v>
      </c>
      <c r="E60" s="79">
        <f>-E18</f>
        <v>0</v>
      </c>
      <c r="F60" s="52"/>
      <c r="G60" s="52"/>
      <c r="H60" s="52"/>
      <c r="I60" s="52"/>
      <c r="J60" s="52"/>
      <c r="K60" s="52"/>
      <c r="L60" s="59"/>
    </row>
    <row r="61" spans="1:12" ht="15.75" thickBot="1" x14ac:dyDescent="0.3">
      <c r="A61" s="19"/>
      <c r="B61" s="3"/>
      <c r="C61" s="18"/>
      <c r="D61" s="18"/>
      <c r="E61" s="18"/>
      <c r="F61" s="56"/>
      <c r="G61" s="56"/>
      <c r="H61" s="56"/>
      <c r="I61" s="56"/>
      <c r="J61" s="56"/>
      <c r="K61" s="56"/>
      <c r="L61" s="59"/>
    </row>
    <row r="62" spans="1:12" ht="15.75" thickBot="1" x14ac:dyDescent="0.3">
      <c r="A62" s="19" t="s">
        <v>112</v>
      </c>
      <c r="B62" s="3"/>
      <c r="C62" s="80"/>
      <c r="D62" s="80"/>
      <c r="E62" s="80"/>
      <c r="F62" s="53">
        <f>E62*(1+F63)</f>
        <v>0</v>
      </c>
      <c r="G62" s="53">
        <f t="shared" ref="G62:K62" si="60">F62*(1+G63)</f>
        <v>0</v>
      </c>
      <c r="H62" s="53">
        <f t="shared" si="60"/>
        <v>0</v>
      </c>
      <c r="I62" s="53">
        <f t="shared" si="60"/>
        <v>0</v>
      </c>
      <c r="J62" s="53">
        <f t="shared" si="60"/>
        <v>0</v>
      </c>
      <c r="K62" s="53">
        <f t="shared" si="60"/>
        <v>0</v>
      </c>
      <c r="L62" s="59"/>
    </row>
    <row r="63" spans="1:12" ht="15.75" thickBot="1" x14ac:dyDescent="0.3">
      <c r="A63" s="19" t="s">
        <v>113</v>
      </c>
      <c r="B63" s="3"/>
      <c r="C63" s="53">
        <v>0</v>
      </c>
      <c r="D63" s="51" t="e">
        <f>(D62-C62)/C62</f>
        <v>#DIV/0!</v>
      </c>
      <c r="E63" s="51" t="e">
        <f>(E62-D62)/D62</f>
        <v>#DIV/0!</v>
      </c>
      <c r="F63" s="50"/>
      <c r="G63" s="50"/>
      <c r="H63" s="50"/>
      <c r="I63" s="50"/>
      <c r="J63" s="50"/>
      <c r="K63" s="50"/>
      <c r="L63" s="59"/>
    </row>
    <row r="64" spans="1:12" ht="15.75" thickBot="1" x14ac:dyDescent="0.3">
      <c r="A64" s="19" t="s">
        <v>116</v>
      </c>
      <c r="B64" s="3"/>
      <c r="C64" s="53">
        <v>0</v>
      </c>
      <c r="D64" s="51" t="e">
        <f>(D65-C65)/C65</f>
        <v>#DIV/0!</v>
      </c>
      <c r="E64" s="51" t="e">
        <f>(E65-D65)/D65</f>
        <v>#DIV/0!</v>
      </c>
      <c r="F64" s="50"/>
      <c r="G64" s="50"/>
      <c r="H64" s="50"/>
      <c r="I64" s="50"/>
      <c r="J64" s="50"/>
      <c r="K64" s="50"/>
      <c r="L64" s="59"/>
    </row>
    <row r="65" spans="1:12" ht="15.75" thickBot="1" x14ac:dyDescent="0.3">
      <c r="A65" s="19" t="s">
        <v>119</v>
      </c>
      <c r="B65" s="3"/>
      <c r="C65" s="95" t="e">
        <f>-C14/C62</f>
        <v>#DIV/0!</v>
      </c>
      <c r="D65" s="95" t="e">
        <f>-D14/D62</f>
        <v>#DIV/0!</v>
      </c>
      <c r="E65" s="95" t="e">
        <f>-E14/E62</f>
        <v>#DIV/0!</v>
      </c>
      <c r="F65" s="95" t="e">
        <f>E65*(1+F64)</f>
        <v>#DIV/0!</v>
      </c>
      <c r="G65" s="95" t="e">
        <f t="shared" ref="G65:K65" si="61">F65*(1+G64)</f>
        <v>#DIV/0!</v>
      </c>
      <c r="H65" s="95" t="e">
        <f t="shared" si="61"/>
        <v>#DIV/0!</v>
      </c>
      <c r="I65" s="95" t="e">
        <f t="shared" si="61"/>
        <v>#DIV/0!</v>
      </c>
      <c r="J65" s="95" t="e">
        <f t="shared" si="61"/>
        <v>#DIV/0!</v>
      </c>
      <c r="K65" s="95" t="e">
        <f t="shared" si="61"/>
        <v>#DIV/0!</v>
      </c>
      <c r="L65" s="59"/>
    </row>
    <row r="66" spans="1:12" ht="15.75" thickBot="1" x14ac:dyDescent="0.3">
      <c r="A66" s="19" t="s">
        <v>120</v>
      </c>
      <c r="B66" s="3"/>
      <c r="C66" s="96" t="e">
        <f>C62*C65</f>
        <v>#DIV/0!</v>
      </c>
      <c r="D66" s="96" t="e">
        <f>D62*D65</f>
        <v>#DIV/0!</v>
      </c>
      <c r="E66" s="96" t="e">
        <f>E62*E65</f>
        <v>#DIV/0!</v>
      </c>
      <c r="F66" s="96" t="e">
        <f>F62*F65</f>
        <v>#DIV/0!</v>
      </c>
      <c r="G66" s="96" t="e">
        <f t="shared" ref="G66:J66" si="62">G62*G65</f>
        <v>#DIV/0!</v>
      </c>
      <c r="H66" s="96" t="e">
        <f t="shared" si="62"/>
        <v>#DIV/0!</v>
      </c>
      <c r="I66" s="96" t="e">
        <f t="shared" si="62"/>
        <v>#DIV/0!</v>
      </c>
      <c r="J66" s="96" t="e">
        <f t="shared" si="62"/>
        <v>#DIV/0!</v>
      </c>
      <c r="K66" s="96" t="e">
        <f t="shared" ref="K66" si="63">K62*K65</f>
        <v>#DIV/0!</v>
      </c>
      <c r="L66" s="59"/>
    </row>
    <row r="67" spans="1:12" x14ac:dyDescent="0.25">
      <c r="A67" s="19"/>
      <c r="B67" s="3"/>
      <c r="C67" s="18"/>
      <c r="D67" s="18"/>
      <c r="E67" s="18"/>
      <c r="F67" s="3"/>
      <c r="G67" s="3"/>
      <c r="H67" s="3"/>
      <c r="I67" s="3"/>
      <c r="J67" s="3"/>
      <c r="K67" s="3"/>
      <c r="L67" s="59"/>
    </row>
    <row r="68" spans="1:12" x14ac:dyDescent="0.25">
      <c r="A68" s="20" t="s">
        <v>46</v>
      </c>
      <c r="B68" s="3"/>
      <c r="C68" s="18"/>
      <c r="D68" s="18"/>
      <c r="E68" s="18"/>
      <c r="F68" s="14"/>
      <c r="G68" s="14"/>
      <c r="H68" s="14"/>
      <c r="I68" s="14"/>
      <c r="J68" s="14"/>
      <c r="K68" s="14"/>
      <c r="L68" s="59"/>
    </row>
    <row r="69" spans="1:12" ht="15.75" thickBot="1" x14ac:dyDescent="0.3">
      <c r="A69" s="19" t="s">
        <v>47</v>
      </c>
      <c r="B69" s="3"/>
      <c r="C69" s="53">
        <v>0</v>
      </c>
      <c r="D69" s="53" t="e">
        <f>(D22-C22)/C22</f>
        <v>#DIV/0!</v>
      </c>
      <c r="E69" s="53" t="e">
        <f>(E22-D22)/D22</f>
        <v>#DIV/0!</v>
      </c>
      <c r="F69" s="64"/>
      <c r="G69" s="64"/>
      <c r="H69" s="64"/>
      <c r="I69" s="64"/>
      <c r="J69" s="64"/>
      <c r="K69" s="64"/>
      <c r="L69" s="59"/>
    </row>
    <row r="70" spans="1:12" ht="15.75" thickBot="1" x14ac:dyDescent="0.3">
      <c r="A70" s="19" t="s">
        <v>48</v>
      </c>
      <c r="B70" s="3"/>
      <c r="C70" s="53" t="e">
        <f>-C23/C6</f>
        <v>#DIV/0!</v>
      </c>
      <c r="D70" s="53" t="e">
        <f>-D23/D6</f>
        <v>#DIV/0!</v>
      </c>
      <c r="E70" s="53" t="e">
        <f>-E23/E6</f>
        <v>#DIV/0!</v>
      </c>
      <c r="F70" s="64"/>
      <c r="G70" s="64"/>
      <c r="H70" s="64"/>
      <c r="I70" s="64"/>
      <c r="J70" s="64"/>
      <c r="K70" s="64"/>
      <c r="L70" s="59"/>
    </row>
    <row r="71" spans="1:12" ht="15.75" thickBot="1" x14ac:dyDescent="0.3">
      <c r="A71" s="19" t="s">
        <v>49</v>
      </c>
      <c r="B71" s="3"/>
      <c r="C71" s="53" t="e">
        <f>(C24/C6)*-1</f>
        <v>#DIV/0!</v>
      </c>
      <c r="D71" s="53" t="e">
        <f>(D24/D6)*-1</f>
        <v>#DIV/0!</v>
      </c>
      <c r="E71" s="53" t="e">
        <f>(E24/E6)*-1</f>
        <v>#DIV/0!</v>
      </c>
      <c r="F71" s="64"/>
      <c r="G71" s="64"/>
      <c r="H71" s="64"/>
      <c r="I71" s="64"/>
      <c r="J71" s="64"/>
      <c r="K71" s="64"/>
      <c r="L71" s="59"/>
    </row>
    <row r="72" spans="1:12" ht="15.75" thickBot="1" x14ac:dyDescent="0.3">
      <c r="A72" s="19" t="s">
        <v>50</v>
      </c>
      <c r="B72" s="3"/>
      <c r="C72" s="53" t="e">
        <f>(C26/C6)*-1</f>
        <v>#DIV/0!</v>
      </c>
      <c r="D72" s="53" t="e">
        <f>(D26/D6)*-1</f>
        <v>#DIV/0!</v>
      </c>
      <c r="E72" s="53" t="e">
        <f>(E26/E6)*-1</f>
        <v>#DIV/0!</v>
      </c>
      <c r="F72" s="64"/>
      <c r="G72" s="64"/>
      <c r="H72" s="64"/>
      <c r="I72" s="64"/>
      <c r="J72" s="64"/>
      <c r="K72" s="64"/>
      <c r="L72" s="59"/>
    </row>
    <row r="73" spans="1:12" ht="15.75" thickBot="1" x14ac:dyDescent="0.3">
      <c r="A73" s="19" t="s">
        <v>51</v>
      </c>
      <c r="B73" s="3"/>
      <c r="C73" s="53" t="e">
        <f>C25/C14</f>
        <v>#DIV/0!</v>
      </c>
      <c r="D73" s="53" t="e">
        <f>D25/D14</f>
        <v>#DIV/0!</v>
      </c>
      <c r="E73" s="53" t="e">
        <f>E25/E14</f>
        <v>#DIV/0!</v>
      </c>
      <c r="F73" s="64"/>
      <c r="G73" s="64"/>
      <c r="H73" s="64"/>
      <c r="I73" s="64"/>
      <c r="J73" s="64"/>
      <c r="K73" s="64"/>
      <c r="L73" s="59"/>
    </row>
    <row r="74" spans="1:12" ht="15.75" thickBot="1" x14ac:dyDescent="0.3">
      <c r="A74" s="19" t="s">
        <v>52</v>
      </c>
      <c r="B74" s="3"/>
      <c r="C74" s="53" t="e">
        <f>(C27/C6)*-1</f>
        <v>#DIV/0!</v>
      </c>
      <c r="D74" s="53" t="e">
        <f>(D27/D6)*-1</f>
        <v>#DIV/0!</v>
      </c>
      <c r="E74" s="53" t="e">
        <f>(E27/E6)*-1</f>
        <v>#DIV/0!</v>
      </c>
      <c r="F74" s="64"/>
      <c r="G74" s="64"/>
      <c r="H74" s="64"/>
      <c r="I74" s="64"/>
      <c r="J74" s="64"/>
      <c r="K74" s="64"/>
      <c r="L74" s="59"/>
    </row>
    <row r="75" spans="1:12" ht="15.75" thickBot="1" x14ac:dyDescent="0.3">
      <c r="A75" s="19" t="s">
        <v>53</v>
      </c>
      <c r="B75" s="14"/>
      <c r="C75" s="51" t="e">
        <f t="shared" ref="C75:J75" si="64">(SUM(C22:C27)/SUM(B22:B27))-1</f>
        <v>#DIV/0!</v>
      </c>
      <c r="D75" s="51" t="e">
        <f t="shared" si="64"/>
        <v>#DIV/0!</v>
      </c>
      <c r="E75" s="51" t="e">
        <f t="shared" si="64"/>
        <v>#DIV/0!</v>
      </c>
      <c r="F75" s="51" t="e">
        <f t="shared" si="64"/>
        <v>#DIV/0!</v>
      </c>
      <c r="G75" s="51" t="e">
        <f t="shared" si="64"/>
        <v>#DIV/0!</v>
      </c>
      <c r="H75" s="51" t="e">
        <f t="shared" si="64"/>
        <v>#DIV/0!</v>
      </c>
      <c r="I75" s="51" t="e">
        <f t="shared" si="64"/>
        <v>#DIV/0!</v>
      </c>
      <c r="J75" s="51" t="e">
        <f t="shared" si="64"/>
        <v>#DIV/0!</v>
      </c>
      <c r="K75" s="51" t="e">
        <f t="shared" ref="K75" si="65">(SUM(K22:K27)/SUM(J22:J27))-1</f>
        <v>#DIV/0!</v>
      </c>
      <c r="L75" s="62"/>
    </row>
    <row r="76" spans="1:12" ht="15.75" thickBot="1" x14ac:dyDescent="0.3">
      <c r="A76" s="19" t="s">
        <v>54</v>
      </c>
      <c r="B76" s="14"/>
      <c r="C76" s="53" t="e">
        <f t="shared" ref="C76:D76" si="66">-SUM(C22:C27)/C6</f>
        <v>#DIV/0!</v>
      </c>
      <c r="D76" s="53" t="e">
        <f t="shared" si="66"/>
        <v>#DIV/0!</v>
      </c>
      <c r="E76" s="53" t="e">
        <f t="shared" ref="E76:J76" si="67">-SUM(E22:E27)/E6</f>
        <v>#DIV/0!</v>
      </c>
      <c r="F76" s="51" t="e">
        <f t="shared" si="67"/>
        <v>#DIV/0!</v>
      </c>
      <c r="G76" s="51" t="e">
        <f t="shared" si="67"/>
        <v>#DIV/0!</v>
      </c>
      <c r="H76" s="51" t="e">
        <f t="shared" si="67"/>
        <v>#DIV/0!</v>
      </c>
      <c r="I76" s="51" t="e">
        <f t="shared" si="67"/>
        <v>#DIV/0!</v>
      </c>
      <c r="J76" s="51" t="e">
        <f t="shared" si="67"/>
        <v>#DIV/0!</v>
      </c>
      <c r="K76" s="51" t="e">
        <f t="shared" ref="K76" si="68">-SUM(K22:K27)/K6</f>
        <v>#DIV/0!</v>
      </c>
      <c r="L76" s="62"/>
    </row>
    <row r="77" spans="1:12" x14ac:dyDescent="0.25">
      <c r="A77" s="19"/>
      <c r="B77" s="14"/>
      <c r="C77" s="18"/>
      <c r="D77" s="18"/>
      <c r="E77" s="18"/>
      <c r="F77" s="14"/>
      <c r="G77" s="14"/>
      <c r="H77" s="14"/>
      <c r="I77" s="14"/>
      <c r="J77" s="14"/>
      <c r="K77" s="14"/>
      <c r="L77" s="62"/>
    </row>
    <row r="78" spans="1:12" ht="15.75" thickBot="1" x14ac:dyDescent="0.3">
      <c r="A78" s="19" t="s">
        <v>55</v>
      </c>
      <c r="B78" s="38">
        <v>200</v>
      </c>
      <c r="C78" s="75"/>
      <c r="D78" s="75"/>
      <c r="E78" s="75"/>
      <c r="F78" s="81">
        <v>0.19</v>
      </c>
      <c r="G78" s="81">
        <v>0.16500000000000001</v>
      </c>
      <c r="H78" s="81">
        <v>0.15</v>
      </c>
      <c r="I78" s="81">
        <v>0.15</v>
      </c>
      <c r="J78" s="81">
        <v>0.15</v>
      </c>
      <c r="K78" s="81">
        <v>0.15</v>
      </c>
      <c r="L78" s="59"/>
    </row>
    <row r="79" spans="1:12" ht="15.75" thickBot="1" x14ac:dyDescent="0.3">
      <c r="A79" s="19" t="s">
        <v>56</v>
      </c>
      <c r="B79" s="38">
        <v>200</v>
      </c>
      <c r="C79" s="75"/>
      <c r="D79" s="75"/>
      <c r="E79" s="75"/>
      <c r="F79" s="81">
        <v>0.25</v>
      </c>
      <c r="G79" s="81">
        <v>0.25</v>
      </c>
      <c r="H79" s="81">
        <v>0.217</v>
      </c>
      <c r="I79" s="81">
        <v>0.217</v>
      </c>
      <c r="J79" s="81">
        <v>0.217</v>
      </c>
      <c r="K79" s="81">
        <v>0.217</v>
      </c>
      <c r="L79" s="59"/>
    </row>
    <row r="80" spans="1:12" ht="15.75" thickBot="1" x14ac:dyDescent="0.3">
      <c r="A80" s="19" t="s">
        <v>57</v>
      </c>
      <c r="B80" s="38"/>
      <c r="C80" s="76"/>
      <c r="D80" s="76"/>
      <c r="E80" s="76"/>
      <c r="F80" s="54">
        <v>0</v>
      </c>
      <c r="G80" s="54">
        <v>0</v>
      </c>
      <c r="H80" s="54">
        <v>0</v>
      </c>
      <c r="I80" s="54">
        <v>0</v>
      </c>
      <c r="J80" s="54">
        <v>0</v>
      </c>
      <c r="K80" s="54">
        <v>0</v>
      </c>
      <c r="L80" s="59"/>
    </row>
    <row r="81" spans="1:12" x14ac:dyDescent="0.25">
      <c r="A81" s="19"/>
      <c r="B81" s="38"/>
      <c r="C81" s="76"/>
      <c r="D81" s="76"/>
      <c r="E81" s="76"/>
      <c r="F81" s="58"/>
      <c r="G81" s="58"/>
      <c r="H81" s="58"/>
      <c r="I81" s="58"/>
      <c r="J81" s="58"/>
      <c r="K81" s="58"/>
      <c r="L81" s="59"/>
    </row>
    <row r="82" spans="1:12" x14ac:dyDescent="0.25">
      <c r="A82" s="20" t="s">
        <v>58</v>
      </c>
      <c r="B82" s="38"/>
      <c r="C82" s="75"/>
      <c r="D82" s="75"/>
      <c r="E82" s="75"/>
      <c r="F82" s="14"/>
      <c r="G82" s="14"/>
      <c r="H82" s="14"/>
      <c r="I82" s="14"/>
      <c r="J82" s="14"/>
      <c r="K82" s="14"/>
      <c r="L82" s="59"/>
    </row>
    <row r="83" spans="1:12" ht="15.75" thickBot="1" x14ac:dyDescent="0.3">
      <c r="A83" s="19" t="s">
        <v>59</v>
      </c>
      <c r="B83" s="38"/>
      <c r="C83" s="53" t="e">
        <f>C114/C6</f>
        <v>#DIV/0!</v>
      </c>
      <c r="D83" s="53" t="e">
        <f>D114/D6</f>
        <v>#DIV/0!</v>
      </c>
      <c r="E83" s="53" t="e">
        <f>E114/E6</f>
        <v>#DIV/0!</v>
      </c>
      <c r="F83" s="50"/>
      <c r="G83" s="50"/>
      <c r="H83" s="50"/>
      <c r="I83" s="50"/>
      <c r="J83" s="50"/>
      <c r="K83" s="50"/>
      <c r="L83" s="59"/>
    </row>
    <row r="84" spans="1:12" ht="15.75" thickBot="1" x14ac:dyDescent="0.3">
      <c r="A84" s="19" t="s">
        <v>115</v>
      </c>
      <c r="B84" s="38"/>
      <c r="C84" s="53" t="e">
        <f>C99/C6*365</f>
        <v>#DIV/0!</v>
      </c>
      <c r="D84" s="53" t="e">
        <f>D99/D6*365</f>
        <v>#DIV/0!</v>
      </c>
      <c r="E84" s="53" t="e">
        <f>E99/E6*365</f>
        <v>#DIV/0!</v>
      </c>
      <c r="F84" s="52"/>
      <c r="G84" s="52"/>
      <c r="H84" s="52"/>
      <c r="I84" s="52"/>
      <c r="J84" s="52"/>
      <c r="K84" s="52"/>
      <c r="L84" s="59"/>
    </row>
    <row r="85" spans="1:12" ht="15.75" thickBot="1" x14ac:dyDescent="0.3">
      <c r="A85" s="19" t="s">
        <v>114</v>
      </c>
      <c r="B85" s="38"/>
      <c r="C85" s="53" t="e">
        <f>-$E$122/$E$9*365</f>
        <v>#DIV/0!</v>
      </c>
      <c r="D85" s="53" t="e">
        <f>-$E$122/$E$9*365</f>
        <v>#DIV/0!</v>
      </c>
      <c r="E85" s="53" t="e">
        <f>-$E$122/$E$9*365</f>
        <v>#DIV/0!</v>
      </c>
      <c r="F85" s="52"/>
      <c r="G85" s="52"/>
      <c r="H85" s="52"/>
      <c r="I85" s="52"/>
      <c r="J85" s="52"/>
      <c r="K85" s="52"/>
      <c r="L85" s="59"/>
    </row>
    <row r="86" spans="1:12" ht="15.75" thickBot="1" x14ac:dyDescent="0.3">
      <c r="A86" s="19" t="s">
        <v>60</v>
      </c>
      <c r="B86" s="38"/>
      <c r="C86" s="53" t="e">
        <f>C123/-C14</f>
        <v>#DIV/0!</v>
      </c>
      <c r="D86" s="53" t="e">
        <f>D123/-D14</f>
        <v>#DIV/0!</v>
      </c>
      <c r="E86" s="53" t="e">
        <f>E123/-E14</f>
        <v>#DIV/0!</v>
      </c>
      <c r="F86" s="50"/>
      <c r="G86" s="50"/>
      <c r="H86" s="50"/>
      <c r="I86" s="50"/>
      <c r="J86" s="50"/>
      <c r="K86" s="50"/>
      <c r="L86" s="59"/>
    </row>
    <row r="87" spans="1:12" ht="15.75" thickBot="1" x14ac:dyDescent="0.3">
      <c r="A87" s="19" t="s">
        <v>61</v>
      </c>
      <c r="B87" s="38"/>
      <c r="C87" s="53" t="e">
        <f>C143/C6</f>
        <v>#DIV/0!</v>
      </c>
      <c r="D87" s="53" t="e">
        <f>D143/D6</f>
        <v>#DIV/0!</v>
      </c>
      <c r="E87" s="53" t="e">
        <f>E143/E6</f>
        <v>#DIV/0!</v>
      </c>
      <c r="F87" s="50"/>
      <c r="G87" s="50"/>
      <c r="H87" s="50"/>
      <c r="I87" s="50"/>
      <c r="J87" s="50"/>
      <c r="K87" s="50"/>
      <c r="L87" s="59"/>
    </row>
    <row r="88" spans="1:12" ht="15.75" thickBot="1" x14ac:dyDescent="0.3">
      <c r="A88" s="4" t="s">
        <v>188</v>
      </c>
      <c r="B88" s="38"/>
      <c r="C88" s="53" t="e">
        <f>C121/C42</f>
        <v>#DIV/0!</v>
      </c>
      <c r="D88" s="53" t="e">
        <f>D121/D42</f>
        <v>#DIV/0!</v>
      </c>
      <c r="E88" s="53" t="e">
        <f>E121/E42</f>
        <v>#DIV/0!</v>
      </c>
      <c r="F88" s="50"/>
      <c r="G88" s="50"/>
      <c r="H88" s="50"/>
      <c r="I88" s="50"/>
      <c r="J88" s="50"/>
      <c r="K88" s="50"/>
      <c r="L88" s="59"/>
    </row>
    <row r="89" spans="1:12" ht="15.75" thickBot="1" x14ac:dyDescent="0.3">
      <c r="A89" s="4" t="s">
        <v>127</v>
      </c>
      <c r="B89" s="4"/>
      <c r="C89" s="95">
        <v>0</v>
      </c>
      <c r="D89" s="95">
        <f>D94-C94-D36</f>
        <v>0</v>
      </c>
      <c r="E89" s="95">
        <f>E94-D94-E36</f>
        <v>0</v>
      </c>
      <c r="F89" s="52"/>
      <c r="G89" s="52"/>
      <c r="H89" s="52"/>
      <c r="I89" s="52"/>
      <c r="J89" s="52"/>
      <c r="K89" s="52"/>
      <c r="L89" s="59"/>
    </row>
    <row r="90" spans="1:12" x14ac:dyDescent="0.25">
      <c r="A90" s="4"/>
      <c r="B90" s="2"/>
      <c r="C90" s="2"/>
      <c r="D90" s="2"/>
      <c r="E90" s="2"/>
      <c r="F90" s="2"/>
      <c r="G90" s="2"/>
      <c r="H90" s="2"/>
      <c r="I90" s="2"/>
      <c r="J90" s="2"/>
      <c r="K90" s="2"/>
      <c r="L90" s="59"/>
    </row>
    <row r="91" spans="1:12" x14ac:dyDescent="0.25">
      <c r="A91" s="67" t="s">
        <v>62</v>
      </c>
      <c r="B91" s="68"/>
      <c r="C91" s="82">
        <f t="shared" ref="C91:E91" si="69">C$4</f>
        <v>2022</v>
      </c>
      <c r="D91" s="82">
        <f t="shared" si="69"/>
        <v>2023</v>
      </c>
      <c r="E91" s="82">
        <f t="shared" si="69"/>
        <v>2024</v>
      </c>
      <c r="F91" s="68">
        <f t="shared" ref="F91:J92" si="70">F4</f>
        <v>2025</v>
      </c>
      <c r="G91" s="68">
        <f t="shared" si="70"/>
        <v>2026</v>
      </c>
      <c r="H91" s="68">
        <f t="shared" si="70"/>
        <v>2027</v>
      </c>
      <c r="I91" s="68">
        <f t="shared" si="70"/>
        <v>2028</v>
      </c>
      <c r="J91" s="68">
        <f t="shared" si="70"/>
        <v>2029</v>
      </c>
      <c r="K91" s="68" t="str">
        <f t="shared" ref="K91" si="71">K4</f>
        <v>RP</v>
      </c>
      <c r="L91" s="59"/>
    </row>
    <row r="92" spans="1:12" x14ac:dyDescent="0.25">
      <c r="A92" s="69" t="s">
        <v>1</v>
      </c>
      <c r="B92" s="70"/>
      <c r="C92" s="83" t="str">
        <f t="shared" ref="C92:E92" si="72">C$5</f>
        <v>JR</v>
      </c>
      <c r="D92" s="83" t="str">
        <f t="shared" si="72"/>
        <v>JR</v>
      </c>
      <c r="E92" s="83" t="str">
        <f t="shared" si="72"/>
        <v>JR</v>
      </c>
      <c r="F92" s="70" t="str">
        <f t="shared" si="70"/>
        <v>LE</v>
      </c>
      <c r="G92" s="70" t="str">
        <f t="shared" si="70"/>
        <v>Prognose</v>
      </c>
      <c r="H92" s="70" t="str">
        <f t="shared" si="70"/>
        <v>Prognose</v>
      </c>
      <c r="I92" s="70" t="str">
        <f t="shared" si="70"/>
        <v>Prognose</v>
      </c>
      <c r="J92" s="70" t="str">
        <f t="shared" si="70"/>
        <v>Prognose</v>
      </c>
      <c r="K92" s="70" t="str">
        <f t="shared" ref="K92" si="73">K5</f>
        <v>Prognose</v>
      </c>
      <c r="L92" s="59"/>
    </row>
    <row r="93" spans="1:12" x14ac:dyDescent="0.25">
      <c r="A93" s="4" t="s">
        <v>63</v>
      </c>
      <c r="B93" s="2"/>
      <c r="C93" s="89"/>
      <c r="D93" s="89"/>
      <c r="E93" s="89"/>
      <c r="F93" s="3"/>
      <c r="G93" s="3"/>
      <c r="H93" s="3"/>
      <c r="I93" s="3"/>
      <c r="J93" s="3"/>
      <c r="K93" s="3"/>
      <c r="L93" s="59"/>
    </row>
    <row r="94" spans="1:12" x14ac:dyDescent="0.25">
      <c r="A94" s="4" t="s">
        <v>64</v>
      </c>
      <c r="B94" s="2"/>
      <c r="C94" s="89"/>
      <c r="D94" s="89"/>
      <c r="E94" s="89"/>
      <c r="F94" s="3">
        <f t="shared" ref="F94:K94" si="74">E94+F36+F89</f>
        <v>0</v>
      </c>
      <c r="G94" s="3">
        <f t="shared" si="74"/>
        <v>0</v>
      </c>
      <c r="H94" s="3">
        <f t="shared" si="74"/>
        <v>0</v>
      </c>
      <c r="I94" s="3">
        <f t="shared" si="74"/>
        <v>0</v>
      </c>
      <c r="J94" s="3">
        <f t="shared" si="74"/>
        <v>0</v>
      </c>
      <c r="K94" s="3">
        <f t="shared" si="74"/>
        <v>0</v>
      </c>
      <c r="L94" s="59"/>
    </row>
    <row r="95" spans="1:12" x14ac:dyDescent="0.25">
      <c r="A95" s="4" t="s">
        <v>65</v>
      </c>
      <c r="B95" s="2"/>
      <c r="C95" s="86"/>
      <c r="D95" s="86"/>
      <c r="E95" s="86"/>
      <c r="F95" s="36"/>
      <c r="G95" s="36"/>
      <c r="H95" s="36"/>
      <c r="I95" s="36"/>
      <c r="J95" s="36"/>
      <c r="K95" s="36"/>
      <c r="L95" s="59"/>
    </row>
    <row r="96" spans="1:12" x14ac:dyDescent="0.25">
      <c r="A96" s="1" t="s">
        <v>66</v>
      </c>
      <c r="B96" s="10"/>
      <c r="C96" s="84">
        <f t="shared" ref="C96:D96" si="75">SUM(C93:C95)</f>
        <v>0</v>
      </c>
      <c r="D96" s="84">
        <f t="shared" si="75"/>
        <v>0</v>
      </c>
      <c r="E96" s="84">
        <f t="shared" ref="E96:J96" si="76">SUM(E93:E95)</f>
        <v>0</v>
      </c>
      <c r="F96" s="6">
        <f t="shared" si="76"/>
        <v>0</v>
      </c>
      <c r="G96" s="6">
        <f t="shared" si="76"/>
        <v>0</v>
      </c>
      <c r="H96" s="6">
        <f t="shared" si="76"/>
        <v>0</v>
      </c>
      <c r="I96" s="6">
        <f t="shared" si="76"/>
        <v>0</v>
      </c>
      <c r="J96" s="6">
        <f t="shared" si="76"/>
        <v>0</v>
      </c>
      <c r="K96" s="6">
        <f t="shared" ref="K96" si="77">SUM(K93:K95)</f>
        <v>0</v>
      </c>
      <c r="L96" s="59"/>
    </row>
    <row r="97" spans="1:12" x14ac:dyDescent="0.25">
      <c r="A97" s="4"/>
      <c r="B97" s="2"/>
      <c r="C97" s="90"/>
      <c r="D97" s="90"/>
      <c r="E97" s="90"/>
      <c r="F97" s="2"/>
      <c r="G97" s="2"/>
      <c r="H97" s="2"/>
      <c r="I97" s="2"/>
      <c r="J97" s="2"/>
      <c r="K97" s="2"/>
      <c r="L97" s="59"/>
    </row>
    <row r="98" spans="1:12" x14ac:dyDescent="0.25">
      <c r="A98" s="4" t="s">
        <v>67</v>
      </c>
      <c r="B98" s="2"/>
      <c r="C98" s="90"/>
      <c r="D98" s="90"/>
      <c r="E98" s="90"/>
      <c r="F98" s="2"/>
      <c r="G98" s="2"/>
      <c r="H98" s="2"/>
      <c r="I98" s="2"/>
      <c r="J98" s="2"/>
      <c r="K98" s="2"/>
      <c r="L98" s="59"/>
    </row>
    <row r="99" spans="1:12" x14ac:dyDescent="0.25">
      <c r="A99" s="4" t="s">
        <v>68</v>
      </c>
      <c r="B99" s="2"/>
      <c r="C99" s="89"/>
      <c r="D99" s="89"/>
      <c r="E99" s="89"/>
      <c r="F99" s="3">
        <f t="shared" ref="F99:K99" si="78">F6*(F84/365)</f>
        <v>0</v>
      </c>
      <c r="G99" s="3">
        <f t="shared" si="78"/>
        <v>0</v>
      </c>
      <c r="H99" s="3">
        <f t="shared" si="78"/>
        <v>0</v>
      </c>
      <c r="I99" s="3">
        <f t="shared" si="78"/>
        <v>0</v>
      </c>
      <c r="J99" s="3">
        <f t="shared" si="78"/>
        <v>0</v>
      </c>
      <c r="K99" s="3">
        <f t="shared" si="78"/>
        <v>0</v>
      </c>
      <c r="L99" s="59"/>
    </row>
    <row r="100" spans="1:12" x14ac:dyDescent="0.25">
      <c r="A100" s="4" t="s">
        <v>126</v>
      </c>
      <c r="B100" s="2"/>
      <c r="C100" s="89"/>
      <c r="D100" s="89"/>
      <c r="E100" s="89"/>
      <c r="F100" s="3"/>
      <c r="G100" s="3"/>
      <c r="H100" s="3"/>
      <c r="I100" s="3"/>
      <c r="J100" s="3"/>
      <c r="K100" s="3"/>
      <c r="L100" s="59"/>
    </row>
    <row r="101" spans="1:12" x14ac:dyDescent="0.25">
      <c r="A101" s="4" t="s">
        <v>187</v>
      </c>
      <c r="B101" s="2"/>
      <c r="C101" s="89"/>
      <c r="D101" s="89"/>
      <c r="E101" s="89"/>
      <c r="F101" s="3"/>
      <c r="G101" s="3"/>
      <c r="H101" s="3"/>
      <c r="I101" s="3"/>
      <c r="J101" s="3"/>
      <c r="K101" s="3"/>
      <c r="L101" s="59"/>
    </row>
    <row r="102" spans="1:12" ht="16.5" x14ac:dyDescent="0.35">
      <c r="A102" s="4" t="s">
        <v>69</v>
      </c>
      <c r="B102" s="40"/>
      <c r="C102" s="86"/>
      <c r="D102" s="86"/>
      <c r="E102" s="86"/>
      <c r="F102" s="36"/>
      <c r="G102" s="36"/>
      <c r="H102" s="36"/>
      <c r="I102" s="36"/>
      <c r="J102" s="36"/>
      <c r="K102" s="36"/>
      <c r="L102" s="59"/>
    </row>
    <row r="103" spans="1:12" x14ac:dyDescent="0.25">
      <c r="A103" s="41" t="s">
        <v>70</v>
      </c>
      <c r="B103" s="10"/>
      <c r="C103" s="84">
        <f t="shared" ref="C103:D103" si="79">SUM(C98:C102)</f>
        <v>0</v>
      </c>
      <c r="D103" s="84">
        <f t="shared" si="79"/>
        <v>0</v>
      </c>
      <c r="E103" s="84">
        <f t="shared" ref="E103:J103" si="80">SUM(E98:E102)</f>
        <v>0</v>
      </c>
      <c r="F103" s="6">
        <f t="shared" si="80"/>
        <v>0</v>
      </c>
      <c r="G103" s="6">
        <f t="shared" si="80"/>
        <v>0</v>
      </c>
      <c r="H103" s="6">
        <f t="shared" si="80"/>
        <v>0</v>
      </c>
      <c r="I103" s="6">
        <f t="shared" si="80"/>
        <v>0</v>
      </c>
      <c r="J103" s="6">
        <f t="shared" si="80"/>
        <v>0</v>
      </c>
      <c r="K103" s="6">
        <f t="shared" ref="K103" si="81">SUM(K98:K102)</f>
        <v>0</v>
      </c>
      <c r="L103" s="59"/>
    </row>
    <row r="104" spans="1:12" x14ac:dyDescent="0.25">
      <c r="A104" s="4"/>
      <c r="B104" s="2"/>
      <c r="C104" s="90"/>
      <c r="D104" s="90"/>
      <c r="E104" s="90"/>
      <c r="F104" s="2"/>
      <c r="G104" s="2"/>
      <c r="H104" s="2"/>
      <c r="I104" s="2"/>
      <c r="J104" s="2"/>
      <c r="K104" s="2"/>
      <c r="L104" s="59"/>
    </row>
    <row r="105" spans="1:12" x14ac:dyDescent="0.25">
      <c r="A105" s="1" t="s">
        <v>71</v>
      </c>
      <c r="B105" s="10"/>
      <c r="C105" s="84"/>
      <c r="D105" s="84"/>
      <c r="E105" s="84"/>
      <c r="F105" s="6" t="e">
        <f>F186</f>
        <v>#DIV/0!</v>
      </c>
      <c r="G105" s="6" t="e">
        <f t="shared" ref="G105:J105" si="82">G186</f>
        <v>#DIV/0!</v>
      </c>
      <c r="H105" s="6" t="e">
        <f t="shared" si="82"/>
        <v>#DIV/0!</v>
      </c>
      <c r="I105" s="6" t="e">
        <f>I186</f>
        <v>#DIV/0!</v>
      </c>
      <c r="J105" s="6" t="e">
        <f t="shared" si="82"/>
        <v>#DIV/0!</v>
      </c>
      <c r="K105" s="6" t="e">
        <f t="shared" ref="K105" si="83">K186</f>
        <v>#DIV/0!</v>
      </c>
      <c r="L105" s="59"/>
    </row>
    <row r="106" spans="1:12" x14ac:dyDescent="0.25">
      <c r="A106" s="4"/>
      <c r="B106" s="2"/>
      <c r="C106" s="90"/>
      <c r="D106" s="90"/>
      <c r="E106" s="90"/>
      <c r="F106" s="2"/>
      <c r="G106" s="2"/>
      <c r="H106" s="2"/>
      <c r="I106" s="2"/>
      <c r="J106" s="2"/>
      <c r="K106" s="2"/>
      <c r="L106" s="59"/>
    </row>
    <row r="107" spans="1:12" x14ac:dyDescent="0.25">
      <c r="A107" s="42" t="s">
        <v>72</v>
      </c>
      <c r="B107" s="21"/>
      <c r="C107" s="94">
        <f t="shared" ref="C107:D107" si="84">C96+C103+C105</f>
        <v>0</v>
      </c>
      <c r="D107" s="94">
        <f t="shared" si="84"/>
        <v>0</v>
      </c>
      <c r="E107" s="94">
        <f t="shared" ref="E107:J107" si="85">E96+E103+E105</f>
        <v>0</v>
      </c>
      <c r="F107" s="21" t="e">
        <f t="shared" si="85"/>
        <v>#DIV/0!</v>
      </c>
      <c r="G107" s="21" t="e">
        <f t="shared" si="85"/>
        <v>#DIV/0!</v>
      </c>
      <c r="H107" s="21" t="e">
        <f t="shared" si="85"/>
        <v>#DIV/0!</v>
      </c>
      <c r="I107" s="21" t="e">
        <f t="shared" si="85"/>
        <v>#DIV/0!</v>
      </c>
      <c r="J107" s="21" t="e">
        <f t="shared" si="85"/>
        <v>#DIV/0!</v>
      </c>
      <c r="K107" s="21" t="e">
        <f t="shared" ref="K107" si="86">K96+K103+K105</f>
        <v>#DIV/0!</v>
      </c>
      <c r="L107" s="59"/>
    </row>
    <row r="108" spans="1:12" x14ac:dyDescent="0.25">
      <c r="A108" s="4"/>
      <c r="B108" s="2"/>
      <c r="C108" s="90"/>
      <c r="D108" s="90"/>
      <c r="E108" s="90"/>
      <c r="F108" s="2"/>
      <c r="G108" s="2"/>
      <c r="H108" s="2"/>
      <c r="I108" s="2"/>
      <c r="J108" s="2"/>
      <c r="K108" s="2"/>
      <c r="L108" s="59"/>
    </row>
    <row r="109" spans="1:12" x14ac:dyDescent="0.25">
      <c r="A109" s="4" t="s">
        <v>73</v>
      </c>
      <c r="B109" s="2"/>
      <c r="C109" s="89"/>
      <c r="D109" s="89"/>
      <c r="E109" s="89"/>
      <c r="F109" s="3">
        <f>E109</f>
        <v>0</v>
      </c>
      <c r="G109" s="3">
        <f t="shared" ref="G109:K109" si="87">F109</f>
        <v>0</v>
      </c>
      <c r="H109" s="3">
        <f t="shared" si="87"/>
        <v>0</v>
      </c>
      <c r="I109" s="3">
        <f t="shared" si="87"/>
        <v>0</v>
      </c>
      <c r="J109" s="3">
        <f t="shared" si="87"/>
        <v>0</v>
      </c>
      <c r="K109" s="3">
        <f t="shared" si="87"/>
        <v>0</v>
      </c>
      <c r="L109" s="59"/>
    </row>
    <row r="110" spans="1:12" x14ac:dyDescent="0.25">
      <c r="A110" s="4" t="s">
        <v>74</v>
      </c>
      <c r="B110" s="2"/>
      <c r="C110" s="89"/>
      <c r="D110" s="89"/>
      <c r="E110" s="89"/>
      <c r="F110" s="3">
        <f>E110+E111</f>
        <v>0</v>
      </c>
      <c r="G110" s="3" t="e">
        <f t="shared" ref="G110:K110" si="88">F110+F111</f>
        <v>#DIV/0!</v>
      </c>
      <c r="H110" s="3" t="e">
        <f t="shared" si="88"/>
        <v>#DIV/0!</v>
      </c>
      <c r="I110" s="3" t="e">
        <f t="shared" si="88"/>
        <v>#DIV/0!</v>
      </c>
      <c r="J110" s="3" t="e">
        <f t="shared" si="88"/>
        <v>#DIV/0!</v>
      </c>
      <c r="K110" s="3" t="e">
        <f t="shared" si="88"/>
        <v>#DIV/0!</v>
      </c>
      <c r="L110" s="59"/>
    </row>
    <row r="111" spans="1:12" x14ac:dyDescent="0.25">
      <c r="A111" s="4" t="s">
        <v>75</v>
      </c>
      <c r="B111" s="2"/>
      <c r="C111" s="86"/>
      <c r="D111" s="86"/>
      <c r="E111" s="86"/>
      <c r="F111" s="36" t="e">
        <f t="shared" ref="F111:K111" si="89">F43</f>
        <v>#DIV/0!</v>
      </c>
      <c r="G111" s="36" t="e">
        <f t="shared" si="89"/>
        <v>#DIV/0!</v>
      </c>
      <c r="H111" s="36" t="e">
        <f t="shared" si="89"/>
        <v>#DIV/0!</v>
      </c>
      <c r="I111" s="36" t="e">
        <f t="shared" si="89"/>
        <v>#DIV/0!</v>
      </c>
      <c r="J111" s="36" t="e">
        <f t="shared" si="89"/>
        <v>#DIV/0!</v>
      </c>
      <c r="K111" s="36" t="e">
        <f t="shared" si="89"/>
        <v>#DIV/0!</v>
      </c>
      <c r="L111" s="59"/>
    </row>
    <row r="112" spans="1:12" x14ac:dyDescent="0.25">
      <c r="A112" s="1" t="s">
        <v>76</v>
      </c>
      <c r="B112" s="10"/>
      <c r="C112" s="84">
        <f t="shared" ref="C112:D112" si="90">SUM(C109:C111)</f>
        <v>0</v>
      </c>
      <c r="D112" s="84">
        <f t="shared" si="90"/>
        <v>0</v>
      </c>
      <c r="E112" s="84">
        <f t="shared" ref="E112:J112" si="91">SUM(E109:E111)</f>
        <v>0</v>
      </c>
      <c r="F112" s="6" t="e">
        <f t="shared" si="91"/>
        <v>#DIV/0!</v>
      </c>
      <c r="G112" s="6" t="e">
        <f t="shared" si="91"/>
        <v>#DIV/0!</v>
      </c>
      <c r="H112" s="6" t="e">
        <f t="shared" si="91"/>
        <v>#DIV/0!</v>
      </c>
      <c r="I112" s="6" t="e">
        <f t="shared" si="91"/>
        <v>#DIV/0!</v>
      </c>
      <c r="J112" s="6" t="e">
        <f t="shared" si="91"/>
        <v>#DIV/0!</v>
      </c>
      <c r="K112" s="6" t="e">
        <f t="shared" ref="K112" si="92">SUM(K109:K111)</f>
        <v>#DIV/0!</v>
      </c>
      <c r="L112" s="59"/>
    </row>
    <row r="113" spans="1:12" x14ac:dyDescent="0.25">
      <c r="A113" s="4"/>
      <c r="B113" s="2"/>
      <c r="C113" s="89"/>
      <c r="D113" s="89"/>
      <c r="E113" s="89"/>
      <c r="F113" s="3"/>
      <c r="G113" s="3"/>
      <c r="H113" s="3"/>
      <c r="I113" s="3"/>
      <c r="J113" s="3"/>
      <c r="K113" s="3"/>
      <c r="L113" s="59"/>
    </row>
    <row r="114" spans="1:12" x14ac:dyDescent="0.25">
      <c r="A114" s="4" t="s">
        <v>77</v>
      </c>
      <c r="B114" s="2"/>
      <c r="C114" s="86"/>
      <c r="D114" s="86"/>
      <c r="E114" s="86"/>
      <c r="F114" s="36">
        <f t="shared" ref="F114:K114" si="93">F6*F83</f>
        <v>0</v>
      </c>
      <c r="G114" s="36">
        <f t="shared" si="93"/>
        <v>0</v>
      </c>
      <c r="H114" s="36">
        <f t="shared" si="93"/>
        <v>0</v>
      </c>
      <c r="I114" s="36">
        <f t="shared" si="93"/>
        <v>0</v>
      </c>
      <c r="J114" s="36">
        <f t="shared" si="93"/>
        <v>0</v>
      </c>
      <c r="K114" s="36">
        <f t="shared" si="93"/>
        <v>0</v>
      </c>
      <c r="L114" s="59"/>
    </row>
    <row r="115" spans="1:12" x14ac:dyDescent="0.25">
      <c r="A115" s="1" t="s">
        <v>78</v>
      </c>
      <c r="B115" s="2"/>
      <c r="C115" s="84">
        <f t="shared" ref="C115:D115" si="94">C114</f>
        <v>0</v>
      </c>
      <c r="D115" s="84">
        <f t="shared" si="94"/>
        <v>0</v>
      </c>
      <c r="E115" s="84">
        <f t="shared" ref="E115:J115" si="95">E114</f>
        <v>0</v>
      </c>
      <c r="F115" s="6">
        <f t="shared" si="95"/>
        <v>0</v>
      </c>
      <c r="G115" s="6">
        <f t="shared" si="95"/>
        <v>0</v>
      </c>
      <c r="H115" s="6">
        <f t="shared" si="95"/>
        <v>0</v>
      </c>
      <c r="I115" s="6">
        <f t="shared" si="95"/>
        <v>0</v>
      </c>
      <c r="J115" s="6">
        <f t="shared" si="95"/>
        <v>0</v>
      </c>
      <c r="K115" s="6">
        <f t="shared" ref="K115" si="96">K114</f>
        <v>0</v>
      </c>
      <c r="L115" s="59"/>
    </row>
    <row r="116" spans="1:12" x14ac:dyDescent="0.25">
      <c r="A116" s="1"/>
      <c r="B116" s="2"/>
      <c r="C116" s="89"/>
      <c r="D116" s="89"/>
      <c r="E116" s="89"/>
      <c r="F116" s="3"/>
      <c r="G116" s="3"/>
      <c r="H116" s="3"/>
      <c r="I116" s="3"/>
      <c r="J116" s="3"/>
      <c r="K116" s="3"/>
      <c r="L116" s="59"/>
    </row>
    <row r="117" spans="1:12" x14ac:dyDescent="0.25">
      <c r="A117" s="4" t="s">
        <v>123</v>
      </c>
      <c r="B117" s="2"/>
      <c r="C117" s="89"/>
      <c r="D117" s="89"/>
      <c r="E117" s="89"/>
      <c r="F117" s="3"/>
      <c r="G117" s="3"/>
      <c r="H117" s="3"/>
      <c r="I117" s="3"/>
      <c r="J117" s="3"/>
      <c r="K117" s="3"/>
      <c r="L117" s="59"/>
    </row>
    <row r="118" spans="1:12" x14ac:dyDescent="0.25">
      <c r="A118" s="4" t="s">
        <v>124</v>
      </c>
      <c r="B118" s="2"/>
      <c r="C118" s="86"/>
      <c r="D118" s="86"/>
      <c r="E118" s="86"/>
      <c r="F118" s="36">
        <f t="shared" ref="F118:K118" si="97">E118</f>
        <v>0</v>
      </c>
      <c r="G118" s="36">
        <f t="shared" si="97"/>
        <v>0</v>
      </c>
      <c r="H118" s="36">
        <f t="shared" si="97"/>
        <v>0</v>
      </c>
      <c r="I118" s="36">
        <f t="shared" si="97"/>
        <v>0</v>
      </c>
      <c r="J118" s="36">
        <f t="shared" si="97"/>
        <v>0</v>
      </c>
      <c r="K118" s="36">
        <f t="shared" si="97"/>
        <v>0</v>
      </c>
      <c r="L118" s="59"/>
    </row>
    <row r="119" spans="1:12" ht="16.5" x14ac:dyDescent="0.35">
      <c r="A119" s="1" t="s">
        <v>79</v>
      </c>
      <c r="B119" s="43"/>
      <c r="C119" s="84">
        <f t="shared" ref="C119:K119" si="98">SUM(C117:C118)</f>
        <v>0</v>
      </c>
      <c r="D119" s="84">
        <f t="shared" si="98"/>
        <v>0</v>
      </c>
      <c r="E119" s="84">
        <f t="shared" si="98"/>
        <v>0</v>
      </c>
      <c r="F119" s="6">
        <f t="shared" si="98"/>
        <v>0</v>
      </c>
      <c r="G119" s="6">
        <f t="shared" si="98"/>
        <v>0</v>
      </c>
      <c r="H119" s="6">
        <f t="shared" si="98"/>
        <v>0</v>
      </c>
      <c r="I119" s="6">
        <f t="shared" si="98"/>
        <v>0</v>
      </c>
      <c r="J119" s="6">
        <f t="shared" si="98"/>
        <v>0</v>
      </c>
      <c r="K119" s="6">
        <f t="shared" si="98"/>
        <v>0</v>
      </c>
      <c r="L119" s="59"/>
    </row>
    <row r="120" spans="1:12" ht="16.5" x14ac:dyDescent="0.35">
      <c r="A120" s="4"/>
      <c r="B120" s="40"/>
      <c r="C120" s="89"/>
      <c r="D120" s="89"/>
      <c r="E120" s="89"/>
      <c r="F120" s="3"/>
      <c r="G120" s="3"/>
      <c r="H120" s="3"/>
      <c r="I120" s="3"/>
      <c r="J120" s="3"/>
      <c r="K120" s="3"/>
      <c r="L120" s="59"/>
    </row>
    <row r="121" spans="1:12" x14ac:dyDescent="0.25">
      <c r="A121" s="4" t="s">
        <v>34</v>
      </c>
      <c r="B121" s="2"/>
      <c r="C121" s="89"/>
      <c r="D121" s="89"/>
      <c r="E121" s="89"/>
      <c r="F121" s="3" t="e">
        <f t="shared" ref="F121:K121" si="99">F89*F42</f>
        <v>#DIV/0!</v>
      </c>
      <c r="G121" s="3" t="e">
        <f t="shared" si="99"/>
        <v>#DIV/0!</v>
      </c>
      <c r="H121" s="3" t="e">
        <f t="shared" si="99"/>
        <v>#DIV/0!</v>
      </c>
      <c r="I121" s="3" t="e">
        <f t="shared" si="99"/>
        <v>#DIV/0!</v>
      </c>
      <c r="J121" s="3" t="e">
        <f t="shared" si="99"/>
        <v>#DIV/0!</v>
      </c>
      <c r="K121" s="3" t="e">
        <f t="shared" si="99"/>
        <v>#DIV/0!</v>
      </c>
      <c r="L121" s="59"/>
    </row>
    <row r="122" spans="1:12" x14ac:dyDescent="0.25">
      <c r="A122" s="4" t="s">
        <v>80</v>
      </c>
      <c r="B122" s="2"/>
      <c r="C122" s="89"/>
      <c r="D122" s="89"/>
      <c r="E122" s="89"/>
      <c r="F122" s="3">
        <f t="shared" ref="F122:K122" si="100">F9*(F84/365)</f>
        <v>0</v>
      </c>
      <c r="G122" s="3">
        <f t="shared" si="100"/>
        <v>0</v>
      </c>
      <c r="H122" s="3">
        <f t="shared" si="100"/>
        <v>0</v>
      </c>
      <c r="I122" s="3">
        <f t="shared" si="100"/>
        <v>0</v>
      </c>
      <c r="J122" s="3">
        <f t="shared" si="100"/>
        <v>0</v>
      </c>
      <c r="K122" s="3">
        <f t="shared" si="100"/>
        <v>0</v>
      </c>
      <c r="L122" s="59"/>
    </row>
    <row r="123" spans="1:12" x14ac:dyDescent="0.25">
      <c r="A123" s="4" t="s">
        <v>81</v>
      </c>
      <c r="B123" s="2"/>
      <c r="C123" s="89"/>
      <c r="D123" s="89"/>
      <c r="E123" s="89"/>
      <c r="F123" s="3" t="e">
        <f t="shared" ref="F123:K123" si="101">F86*-F14</f>
        <v>#DIV/0!</v>
      </c>
      <c r="G123" s="3" t="e">
        <f t="shared" si="101"/>
        <v>#DIV/0!</v>
      </c>
      <c r="H123" s="3" t="e">
        <f t="shared" si="101"/>
        <v>#DIV/0!</v>
      </c>
      <c r="I123" s="3" t="e">
        <f t="shared" si="101"/>
        <v>#DIV/0!</v>
      </c>
      <c r="J123" s="3" t="e">
        <f t="shared" si="101"/>
        <v>#DIV/0!</v>
      </c>
      <c r="K123" s="3" t="e">
        <f t="shared" si="101"/>
        <v>#DIV/0!</v>
      </c>
      <c r="L123" s="59"/>
    </row>
    <row r="124" spans="1:12" x14ac:dyDescent="0.25">
      <c r="A124" s="4" t="s">
        <v>82</v>
      </c>
      <c r="B124" s="2"/>
      <c r="C124" s="89"/>
      <c r="D124" s="89"/>
      <c r="E124" s="89"/>
      <c r="F124" s="3">
        <f t="shared" ref="F124:K124" si="102">F87*F6</f>
        <v>0</v>
      </c>
      <c r="G124" s="3">
        <f t="shared" si="102"/>
        <v>0</v>
      </c>
      <c r="H124" s="3">
        <f t="shared" si="102"/>
        <v>0</v>
      </c>
      <c r="I124" s="3">
        <f t="shared" si="102"/>
        <v>0</v>
      </c>
      <c r="J124" s="3">
        <f t="shared" si="102"/>
        <v>0</v>
      </c>
      <c r="K124" s="3">
        <f t="shared" si="102"/>
        <v>0</v>
      </c>
      <c r="L124" s="59"/>
    </row>
    <row r="125" spans="1:12" x14ac:dyDescent="0.25">
      <c r="A125" s="4" t="s">
        <v>125</v>
      </c>
      <c r="B125" s="2"/>
      <c r="C125" s="89"/>
      <c r="D125" s="89"/>
      <c r="E125" s="89"/>
      <c r="F125" s="22">
        <v>0</v>
      </c>
      <c r="G125" s="22">
        <v>0</v>
      </c>
      <c r="H125" s="22">
        <v>0</v>
      </c>
      <c r="I125" s="22">
        <v>0</v>
      </c>
      <c r="J125" s="22">
        <v>0</v>
      </c>
      <c r="K125" s="22">
        <v>0</v>
      </c>
      <c r="L125" s="59"/>
    </row>
    <row r="126" spans="1:12" x14ac:dyDescent="0.25">
      <c r="A126" s="4" t="s">
        <v>121</v>
      </c>
      <c r="B126" s="2"/>
      <c r="C126" s="86"/>
      <c r="D126" s="86"/>
      <c r="E126" s="86"/>
      <c r="F126" s="36">
        <f>E126</f>
        <v>0</v>
      </c>
      <c r="G126" s="36">
        <f t="shared" ref="G126:K126" si="103">F126</f>
        <v>0</v>
      </c>
      <c r="H126" s="36">
        <f t="shared" si="103"/>
        <v>0</v>
      </c>
      <c r="I126" s="36">
        <f t="shared" si="103"/>
        <v>0</v>
      </c>
      <c r="J126" s="36">
        <f t="shared" si="103"/>
        <v>0</v>
      </c>
      <c r="K126" s="36">
        <f t="shared" si="103"/>
        <v>0</v>
      </c>
      <c r="L126" s="63"/>
    </row>
    <row r="127" spans="1:12" x14ac:dyDescent="0.25">
      <c r="A127" s="1" t="s">
        <v>83</v>
      </c>
      <c r="B127" s="10"/>
      <c r="C127" s="84">
        <f t="shared" ref="C127:D127" si="104">SUM(C121:C126)</f>
        <v>0</v>
      </c>
      <c r="D127" s="84">
        <f t="shared" si="104"/>
        <v>0</v>
      </c>
      <c r="E127" s="84">
        <f t="shared" ref="E127:J127" si="105">SUM(E121:E126)</f>
        <v>0</v>
      </c>
      <c r="F127" s="6" t="e">
        <f t="shared" si="105"/>
        <v>#DIV/0!</v>
      </c>
      <c r="G127" s="6" t="e">
        <f t="shared" si="105"/>
        <v>#DIV/0!</v>
      </c>
      <c r="H127" s="6" t="e">
        <f t="shared" si="105"/>
        <v>#DIV/0!</v>
      </c>
      <c r="I127" s="6" t="e">
        <f t="shared" si="105"/>
        <v>#DIV/0!</v>
      </c>
      <c r="J127" s="6" t="e">
        <f t="shared" si="105"/>
        <v>#DIV/0!</v>
      </c>
      <c r="K127" s="6" t="e">
        <f t="shared" ref="K127" si="106">SUM(K121:K126)</f>
        <v>#DIV/0!</v>
      </c>
      <c r="L127" s="59"/>
    </row>
    <row r="128" spans="1:12" x14ac:dyDescent="0.25">
      <c r="A128" s="4"/>
      <c r="B128" s="2"/>
      <c r="C128" s="89"/>
      <c r="D128" s="89"/>
      <c r="E128" s="89"/>
      <c r="F128" s="3"/>
      <c r="G128" s="3"/>
      <c r="H128" s="3"/>
      <c r="I128" s="3"/>
      <c r="J128" s="3"/>
      <c r="K128" s="3"/>
      <c r="L128" s="59"/>
    </row>
    <row r="129" spans="1:12" x14ac:dyDescent="0.25">
      <c r="A129" s="42" t="s">
        <v>84</v>
      </c>
      <c r="B129" s="21"/>
      <c r="C129" s="94">
        <f t="shared" ref="C129:D129" si="107">C112+C119+C127+C115</f>
        <v>0</v>
      </c>
      <c r="D129" s="94">
        <f t="shared" si="107"/>
        <v>0</v>
      </c>
      <c r="E129" s="94">
        <f t="shared" ref="E129:J129" si="108">E112+E119+E127+E115</f>
        <v>0</v>
      </c>
      <c r="F129" s="21" t="e">
        <f t="shared" si="108"/>
        <v>#DIV/0!</v>
      </c>
      <c r="G129" s="21" t="e">
        <f t="shared" si="108"/>
        <v>#DIV/0!</v>
      </c>
      <c r="H129" s="21" t="e">
        <f t="shared" si="108"/>
        <v>#DIV/0!</v>
      </c>
      <c r="I129" s="21" t="e">
        <f t="shared" si="108"/>
        <v>#DIV/0!</v>
      </c>
      <c r="J129" s="21" t="e">
        <f t="shared" si="108"/>
        <v>#DIV/0!</v>
      </c>
      <c r="K129" s="21" t="e">
        <f t="shared" ref="K129" si="109">K112+K119+K127+K115</f>
        <v>#DIV/0!</v>
      </c>
      <c r="L129" s="59"/>
    </row>
    <row r="130" spans="1:12" x14ac:dyDescent="0.25">
      <c r="A130" s="44" t="s">
        <v>85</v>
      </c>
      <c r="B130" s="45"/>
      <c r="C130" s="23">
        <f t="shared" ref="C130:D130" si="110">C129-C107</f>
        <v>0</v>
      </c>
      <c r="D130" s="23">
        <f t="shared" si="110"/>
        <v>0</v>
      </c>
      <c r="E130" s="23">
        <f t="shared" ref="E130:J130" si="111">E129-E107</f>
        <v>0</v>
      </c>
      <c r="F130" s="24" t="e">
        <f t="shared" si="111"/>
        <v>#DIV/0!</v>
      </c>
      <c r="G130" s="24" t="e">
        <f t="shared" si="111"/>
        <v>#DIV/0!</v>
      </c>
      <c r="H130" s="24" t="e">
        <f t="shared" si="111"/>
        <v>#DIV/0!</v>
      </c>
      <c r="I130" s="24" t="e">
        <f t="shared" si="111"/>
        <v>#DIV/0!</v>
      </c>
      <c r="J130" s="24" t="e">
        <f t="shared" si="111"/>
        <v>#DIV/0!</v>
      </c>
      <c r="K130" s="24" t="e">
        <f t="shared" ref="K130" si="112">K129-K107</f>
        <v>#DIV/0!</v>
      </c>
      <c r="L130" s="59"/>
    </row>
    <row r="131" spans="1:12" x14ac:dyDescent="0.25">
      <c r="A131" s="44"/>
      <c r="B131" s="45"/>
      <c r="C131" s="23"/>
      <c r="D131" s="23"/>
      <c r="E131" s="23"/>
      <c r="F131" s="23"/>
      <c r="G131" s="23"/>
      <c r="H131" s="23"/>
      <c r="I131" s="24"/>
      <c r="J131" s="23"/>
      <c r="K131" s="23"/>
      <c r="L131" s="59"/>
    </row>
    <row r="132" spans="1:12" x14ac:dyDescent="0.25">
      <c r="A132" s="67" t="s">
        <v>86</v>
      </c>
      <c r="B132" s="68"/>
      <c r="C132" s="68">
        <f t="shared" ref="C132:J132" si="113">C$4</f>
        <v>2022</v>
      </c>
      <c r="D132" s="68">
        <f t="shared" si="113"/>
        <v>2023</v>
      </c>
      <c r="E132" s="68">
        <f t="shared" si="113"/>
        <v>2024</v>
      </c>
      <c r="F132" s="164">
        <f t="shared" si="113"/>
        <v>2025</v>
      </c>
      <c r="G132" s="164">
        <f t="shared" si="113"/>
        <v>2026</v>
      </c>
      <c r="H132" s="164">
        <f t="shared" si="113"/>
        <v>2027</v>
      </c>
      <c r="I132" s="164">
        <f t="shared" si="113"/>
        <v>2028</v>
      </c>
      <c r="J132" s="164">
        <f t="shared" si="113"/>
        <v>2029</v>
      </c>
      <c r="K132" s="164" t="str">
        <f>K$4</f>
        <v>RP</v>
      </c>
      <c r="L132" s="59"/>
    </row>
    <row r="133" spans="1:12" x14ac:dyDescent="0.25">
      <c r="A133" s="46" t="str">
        <f>A98</f>
        <v>Voorraad</v>
      </c>
      <c r="B133" s="47"/>
      <c r="C133" s="48">
        <f t="shared" ref="C133:D133" si="114">C98</f>
        <v>0</v>
      </c>
      <c r="D133" s="48">
        <f t="shared" si="114"/>
        <v>0</v>
      </c>
      <c r="E133" s="48">
        <f t="shared" ref="E133:J133" si="115">E98</f>
        <v>0</v>
      </c>
      <c r="F133" s="25">
        <f t="shared" si="115"/>
        <v>0</v>
      </c>
      <c r="G133" s="25">
        <f t="shared" si="115"/>
        <v>0</v>
      </c>
      <c r="H133" s="25">
        <f t="shared" si="115"/>
        <v>0</v>
      </c>
      <c r="I133" s="25">
        <f t="shared" si="115"/>
        <v>0</v>
      </c>
      <c r="J133" s="25">
        <f t="shared" si="115"/>
        <v>0</v>
      </c>
      <c r="K133" s="25">
        <f t="shared" ref="K133" si="116">K98</f>
        <v>0</v>
      </c>
      <c r="L133" s="59"/>
    </row>
    <row r="134" spans="1:12" x14ac:dyDescent="0.25">
      <c r="A134" s="46" t="str">
        <f>A99</f>
        <v>Handelsdebiteuren</v>
      </c>
      <c r="B134" s="47"/>
      <c r="C134" s="48">
        <f t="shared" ref="C134:D134" si="117">C99</f>
        <v>0</v>
      </c>
      <c r="D134" s="48">
        <f t="shared" si="117"/>
        <v>0</v>
      </c>
      <c r="E134" s="48">
        <f t="shared" ref="E134:J137" si="118">E99</f>
        <v>0</v>
      </c>
      <c r="F134" s="25">
        <f t="shared" si="118"/>
        <v>0</v>
      </c>
      <c r="G134" s="25">
        <f t="shared" si="118"/>
        <v>0</v>
      </c>
      <c r="H134" s="25">
        <f t="shared" si="118"/>
        <v>0</v>
      </c>
      <c r="I134" s="25">
        <f t="shared" si="118"/>
        <v>0</v>
      </c>
      <c r="J134" s="25">
        <f t="shared" si="118"/>
        <v>0</v>
      </c>
      <c r="K134" s="25">
        <f t="shared" ref="K134" si="119">K99</f>
        <v>0</v>
      </c>
      <c r="L134" s="59"/>
    </row>
    <row r="135" spans="1:12" x14ac:dyDescent="0.25">
      <c r="A135" s="46" t="str">
        <f>A100</f>
        <v>Belastingen</v>
      </c>
      <c r="B135" s="45"/>
      <c r="C135" s="48">
        <f t="shared" ref="C135:D135" si="120">C100</f>
        <v>0</v>
      </c>
      <c r="D135" s="48">
        <f t="shared" si="120"/>
        <v>0</v>
      </c>
      <c r="E135" s="48">
        <f t="shared" si="118"/>
        <v>0</v>
      </c>
      <c r="F135" s="25">
        <f t="shared" si="118"/>
        <v>0</v>
      </c>
      <c r="G135" s="25">
        <f t="shared" si="118"/>
        <v>0</v>
      </c>
      <c r="H135" s="25">
        <f t="shared" si="118"/>
        <v>0</v>
      </c>
      <c r="I135" s="25">
        <f t="shared" si="118"/>
        <v>0</v>
      </c>
      <c r="J135" s="25">
        <f t="shared" si="118"/>
        <v>0</v>
      </c>
      <c r="K135" s="25">
        <f t="shared" ref="K135" si="121">K100</f>
        <v>0</v>
      </c>
      <c r="L135" s="59"/>
    </row>
    <row r="136" spans="1:12" x14ac:dyDescent="0.25">
      <c r="A136" s="46" t="str">
        <f>A101</f>
        <v>Overige vorderingen</v>
      </c>
      <c r="B136" s="45"/>
      <c r="C136" s="48">
        <f t="shared" ref="C136:D136" si="122">C101</f>
        <v>0</v>
      </c>
      <c r="D136" s="48">
        <f t="shared" si="122"/>
        <v>0</v>
      </c>
      <c r="E136" s="48">
        <f t="shared" si="118"/>
        <v>0</v>
      </c>
      <c r="F136" s="25">
        <f t="shared" si="118"/>
        <v>0</v>
      </c>
      <c r="G136" s="25">
        <f t="shared" si="118"/>
        <v>0</v>
      </c>
      <c r="H136" s="25">
        <f t="shared" si="118"/>
        <v>0</v>
      </c>
      <c r="I136" s="25">
        <f t="shared" si="118"/>
        <v>0</v>
      </c>
      <c r="J136" s="25">
        <f t="shared" si="118"/>
        <v>0</v>
      </c>
      <c r="K136" s="25">
        <f t="shared" ref="K136" si="123">K101</f>
        <v>0</v>
      </c>
      <c r="L136" s="59"/>
    </row>
    <row r="137" spans="1:12" ht="16.5" x14ac:dyDescent="0.35">
      <c r="A137" s="46" t="str">
        <f>A102</f>
        <v>Overlopende activa</v>
      </c>
      <c r="B137" s="45"/>
      <c r="C137" s="49">
        <f t="shared" ref="C137:D137" si="124">C102</f>
        <v>0</v>
      </c>
      <c r="D137" s="49">
        <f t="shared" si="124"/>
        <v>0</v>
      </c>
      <c r="E137" s="49">
        <f t="shared" si="118"/>
        <v>0</v>
      </c>
      <c r="F137" s="26">
        <f t="shared" si="118"/>
        <v>0</v>
      </c>
      <c r="G137" s="26">
        <f t="shared" si="118"/>
        <v>0</v>
      </c>
      <c r="H137" s="26">
        <f t="shared" si="118"/>
        <v>0</v>
      </c>
      <c r="I137" s="26">
        <f t="shared" si="118"/>
        <v>0</v>
      </c>
      <c r="J137" s="26">
        <f t="shared" si="118"/>
        <v>0</v>
      </c>
      <c r="K137" s="26">
        <f t="shared" ref="K137" si="125">K102</f>
        <v>0</v>
      </c>
      <c r="L137" s="59"/>
    </row>
    <row r="138" spans="1:12" x14ac:dyDescent="0.25">
      <c r="A138" s="5" t="s">
        <v>70</v>
      </c>
      <c r="B138" s="45"/>
      <c r="C138" s="27">
        <f t="shared" ref="C138:D138" si="126">SUM(C133:C137)</f>
        <v>0</v>
      </c>
      <c r="D138" s="27">
        <f t="shared" si="126"/>
        <v>0</v>
      </c>
      <c r="E138" s="27">
        <f t="shared" ref="E138:J138" si="127">SUM(E133:E137)</f>
        <v>0</v>
      </c>
      <c r="F138" s="28">
        <f t="shared" si="127"/>
        <v>0</v>
      </c>
      <c r="G138" s="28">
        <f t="shared" si="127"/>
        <v>0</v>
      </c>
      <c r="H138" s="28">
        <f t="shared" si="127"/>
        <v>0</v>
      </c>
      <c r="I138" s="28">
        <f t="shared" si="127"/>
        <v>0</v>
      </c>
      <c r="J138" s="28">
        <f t="shared" si="127"/>
        <v>0</v>
      </c>
      <c r="K138" s="28">
        <f t="shared" ref="K138" si="128">SUM(K133:K137)</f>
        <v>0</v>
      </c>
      <c r="L138" s="59"/>
    </row>
    <row r="139" spans="1:12" x14ac:dyDescent="0.25">
      <c r="A139" s="44"/>
      <c r="B139" s="45"/>
      <c r="C139" s="22"/>
      <c r="D139" s="22"/>
      <c r="E139" s="22"/>
      <c r="F139" s="29"/>
      <c r="G139" s="29"/>
      <c r="H139" s="29"/>
      <c r="I139" s="29"/>
      <c r="J139" s="29"/>
      <c r="K139" s="29"/>
      <c r="L139" s="59"/>
    </row>
    <row r="140" spans="1:12" x14ac:dyDescent="0.25">
      <c r="A140" s="4" t="str">
        <f>A121</f>
        <v>Vennootschapsbelasting</v>
      </c>
      <c r="B140" s="45"/>
      <c r="C140" s="22">
        <f t="shared" ref="C140:D140" si="129">C121</f>
        <v>0</v>
      </c>
      <c r="D140" s="22">
        <f t="shared" si="129"/>
        <v>0</v>
      </c>
      <c r="E140" s="22">
        <f t="shared" ref="E140:J145" si="130">E121</f>
        <v>0</v>
      </c>
      <c r="F140" s="29" t="e">
        <f t="shared" si="130"/>
        <v>#DIV/0!</v>
      </c>
      <c r="G140" s="29" t="e">
        <f t="shared" si="130"/>
        <v>#DIV/0!</v>
      </c>
      <c r="H140" s="29" t="e">
        <f t="shared" si="130"/>
        <v>#DIV/0!</v>
      </c>
      <c r="I140" s="29" t="e">
        <f t="shared" si="130"/>
        <v>#DIV/0!</v>
      </c>
      <c r="J140" s="29" t="e">
        <f t="shared" si="130"/>
        <v>#DIV/0!</v>
      </c>
      <c r="K140" s="29" t="e">
        <f t="shared" ref="K140" si="131">K121</f>
        <v>#DIV/0!</v>
      </c>
      <c r="L140" s="59"/>
    </row>
    <row r="141" spans="1:12" x14ac:dyDescent="0.25">
      <c r="A141" s="4" t="str">
        <f t="shared" ref="A141:A145" si="132">A122</f>
        <v>Crediteuren</v>
      </c>
      <c r="B141" s="45"/>
      <c r="C141" s="22">
        <f t="shared" ref="C141:D141" si="133">C122</f>
        <v>0</v>
      </c>
      <c r="D141" s="22">
        <f t="shared" si="133"/>
        <v>0</v>
      </c>
      <c r="E141" s="22">
        <f t="shared" si="130"/>
        <v>0</v>
      </c>
      <c r="F141" s="29">
        <f t="shared" si="130"/>
        <v>0</v>
      </c>
      <c r="G141" s="29">
        <f t="shared" si="130"/>
        <v>0</v>
      </c>
      <c r="H141" s="29">
        <f t="shared" si="130"/>
        <v>0</v>
      </c>
      <c r="I141" s="29">
        <f t="shared" si="130"/>
        <v>0</v>
      </c>
      <c r="J141" s="29">
        <f t="shared" si="130"/>
        <v>0</v>
      </c>
      <c r="K141" s="29">
        <f t="shared" ref="K141" si="134">K122</f>
        <v>0</v>
      </c>
      <c r="L141" s="59"/>
    </row>
    <row r="142" spans="1:12" x14ac:dyDescent="0.25">
      <c r="A142" s="4" t="str">
        <f t="shared" si="132"/>
        <v>Loonheffing</v>
      </c>
      <c r="B142" s="45"/>
      <c r="C142" s="22">
        <f t="shared" ref="C142:D142" si="135">C123</f>
        <v>0</v>
      </c>
      <c r="D142" s="22">
        <f t="shared" si="135"/>
        <v>0</v>
      </c>
      <c r="E142" s="22">
        <f t="shared" si="130"/>
        <v>0</v>
      </c>
      <c r="F142" s="29" t="e">
        <f t="shared" si="130"/>
        <v>#DIV/0!</v>
      </c>
      <c r="G142" s="29" t="e">
        <f t="shared" si="130"/>
        <v>#DIV/0!</v>
      </c>
      <c r="H142" s="29" t="e">
        <f t="shared" si="130"/>
        <v>#DIV/0!</v>
      </c>
      <c r="I142" s="29" t="e">
        <f t="shared" si="130"/>
        <v>#DIV/0!</v>
      </c>
      <c r="J142" s="29" t="e">
        <f t="shared" si="130"/>
        <v>#DIV/0!</v>
      </c>
      <c r="K142" s="29" t="e">
        <f t="shared" ref="K142" si="136">K123</f>
        <v>#DIV/0!</v>
      </c>
      <c r="L142" s="59"/>
    </row>
    <row r="143" spans="1:12" x14ac:dyDescent="0.25">
      <c r="A143" s="4" t="str">
        <f t="shared" si="132"/>
        <v>Omzetbelasting</v>
      </c>
      <c r="B143" s="45"/>
      <c r="C143" s="22">
        <f t="shared" ref="C143:D143" si="137">C124</f>
        <v>0</v>
      </c>
      <c r="D143" s="22">
        <f t="shared" si="137"/>
        <v>0</v>
      </c>
      <c r="E143" s="22">
        <f t="shared" si="130"/>
        <v>0</v>
      </c>
      <c r="F143" s="29">
        <f t="shared" si="130"/>
        <v>0</v>
      </c>
      <c r="G143" s="29">
        <f t="shared" si="130"/>
        <v>0</v>
      </c>
      <c r="H143" s="29">
        <f t="shared" si="130"/>
        <v>0</v>
      </c>
      <c r="I143" s="29">
        <f t="shared" si="130"/>
        <v>0</v>
      </c>
      <c r="J143" s="29">
        <f t="shared" si="130"/>
        <v>0</v>
      </c>
      <c r="K143" s="29">
        <f t="shared" ref="K143" si="138">K124</f>
        <v>0</v>
      </c>
      <c r="L143" s="59"/>
    </row>
    <row r="144" spans="1:12" x14ac:dyDescent="0.25">
      <c r="A144" s="4" t="str">
        <f t="shared" si="132"/>
        <v>Kortlopend deel lang lopende schulden</v>
      </c>
      <c r="B144" s="45"/>
      <c r="C144" s="22">
        <f t="shared" ref="C144:D144" si="139">C125</f>
        <v>0</v>
      </c>
      <c r="D144" s="22">
        <f t="shared" si="139"/>
        <v>0</v>
      </c>
      <c r="E144" s="22">
        <f t="shared" si="130"/>
        <v>0</v>
      </c>
      <c r="F144" s="29">
        <f t="shared" si="130"/>
        <v>0</v>
      </c>
      <c r="G144" s="29">
        <f t="shared" si="130"/>
        <v>0</v>
      </c>
      <c r="H144" s="29">
        <f t="shared" si="130"/>
        <v>0</v>
      </c>
      <c r="I144" s="29">
        <f t="shared" si="130"/>
        <v>0</v>
      </c>
      <c r="J144" s="29">
        <f t="shared" si="130"/>
        <v>0</v>
      </c>
      <c r="K144" s="29">
        <f t="shared" ref="K144" si="140">K125</f>
        <v>0</v>
      </c>
      <c r="L144" s="59"/>
    </row>
    <row r="145" spans="1:12" ht="16.5" x14ac:dyDescent="0.35">
      <c r="A145" s="4" t="str">
        <f t="shared" si="132"/>
        <v>Overlopende passiva en overige schulden</v>
      </c>
      <c r="B145" s="45"/>
      <c r="C145" s="30">
        <f t="shared" ref="C145:D145" si="141">C126</f>
        <v>0</v>
      </c>
      <c r="D145" s="30">
        <f t="shared" si="141"/>
        <v>0</v>
      </c>
      <c r="E145" s="30">
        <f t="shared" si="130"/>
        <v>0</v>
      </c>
      <c r="F145" s="31">
        <f t="shared" si="130"/>
        <v>0</v>
      </c>
      <c r="G145" s="31">
        <f t="shared" si="130"/>
        <v>0</v>
      </c>
      <c r="H145" s="31">
        <f t="shared" si="130"/>
        <v>0</v>
      </c>
      <c r="I145" s="31">
        <f t="shared" si="130"/>
        <v>0</v>
      </c>
      <c r="J145" s="31">
        <f t="shared" si="130"/>
        <v>0</v>
      </c>
      <c r="K145" s="31">
        <f t="shared" ref="K145" si="142">K126</f>
        <v>0</v>
      </c>
      <c r="L145" s="59"/>
    </row>
    <row r="146" spans="1:12" x14ac:dyDescent="0.25">
      <c r="A146" s="1" t="s">
        <v>87</v>
      </c>
      <c r="B146" s="45"/>
      <c r="C146" s="27">
        <f t="shared" ref="C146:D146" si="143">SUM(C140:C145)</f>
        <v>0</v>
      </c>
      <c r="D146" s="27">
        <f t="shared" si="143"/>
        <v>0</v>
      </c>
      <c r="E146" s="27">
        <f t="shared" ref="E146:J146" si="144">SUM(E140:E145)</f>
        <v>0</v>
      </c>
      <c r="F146" s="28" t="e">
        <f t="shared" si="144"/>
        <v>#DIV/0!</v>
      </c>
      <c r="G146" s="28" t="e">
        <f t="shared" si="144"/>
        <v>#DIV/0!</v>
      </c>
      <c r="H146" s="28" t="e">
        <f t="shared" si="144"/>
        <v>#DIV/0!</v>
      </c>
      <c r="I146" s="28" t="e">
        <f t="shared" si="144"/>
        <v>#DIV/0!</v>
      </c>
      <c r="J146" s="28" t="e">
        <f t="shared" si="144"/>
        <v>#DIV/0!</v>
      </c>
      <c r="K146" s="28" t="e">
        <f t="shared" ref="K146" si="145">SUM(K140:K145)</f>
        <v>#DIV/0!</v>
      </c>
      <c r="L146" s="59"/>
    </row>
    <row r="147" spans="1:12" x14ac:dyDescent="0.25">
      <c r="A147" s="4"/>
      <c r="B147" s="45"/>
      <c r="C147" s="22"/>
      <c r="D147" s="22"/>
      <c r="E147" s="22"/>
      <c r="F147" s="29"/>
      <c r="G147" s="29"/>
      <c r="H147" s="29"/>
      <c r="I147" s="29"/>
      <c r="J147" s="29"/>
      <c r="K147" s="29"/>
      <c r="L147" s="59"/>
    </row>
    <row r="148" spans="1:12" x14ac:dyDescent="0.25">
      <c r="A148" s="5" t="s">
        <v>88</v>
      </c>
      <c r="B148" s="45"/>
      <c r="C148" s="27">
        <f t="shared" ref="C148:D148" si="146">C138-C146</f>
        <v>0</v>
      </c>
      <c r="D148" s="27">
        <f t="shared" si="146"/>
        <v>0</v>
      </c>
      <c r="E148" s="27">
        <f t="shared" ref="E148:J148" si="147">E138-E146</f>
        <v>0</v>
      </c>
      <c r="F148" s="28" t="e">
        <f t="shared" si="147"/>
        <v>#DIV/0!</v>
      </c>
      <c r="G148" s="28" t="e">
        <f t="shared" si="147"/>
        <v>#DIV/0!</v>
      </c>
      <c r="H148" s="28" t="e">
        <f t="shared" si="147"/>
        <v>#DIV/0!</v>
      </c>
      <c r="I148" s="28" t="e">
        <f t="shared" si="147"/>
        <v>#DIV/0!</v>
      </c>
      <c r="J148" s="28" t="e">
        <f t="shared" si="147"/>
        <v>#DIV/0!</v>
      </c>
      <c r="K148" s="28" t="e">
        <f t="shared" ref="K148" si="148">K138-K146</f>
        <v>#DIV/0!</v>
      </c>
      <c r="L148" s="59"/>
    </row>
    <row r="149" spans="1:12" x14ac:dyDescent="0.25">
      <c r="A149" s="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59"/>
    </row>
    <row r="150" spans="1:12" x14ac:dyDescent="0.25">
      <c r="A150" s="67" t="s">
        <v>89</v>
      </c>
      <c r="B150" s="68"/>
      <c r="C150" s="68"/>
      <c r="D150" s="68"/>
      <c r="E150" s="68"/>
      <c r="F150" s="68">
        <f t="shared" ref="F150:J150" si="149">F$4</f>
        <v>2025</v>
      </c>
      <c r="G150" s="68">
        <f t="shared" si="149"/>
        <v>2026</v>
      </c>
      <c r="H150" s="68">
        <f t="shared" si="149"/>
        <v>2027</v>
      </c>
      <c r="I150" s="68">
        <f t="shared" si="149"/>
        <v>2028</v>
      </c>
      <c r="J150" s="68">
        <f t="shared" si="149"/>
        <v>2029</v>
      </c>
      <c r="K150" s="68" t="str">
        <f>K$4</f>
        <v>RP</v>
      </c>
      <c r="L150" s="59"/>
    </row>
    <row r="151" spans="1:12" x14ac:dyDescent="0.25">
      <c r="A151" s="69" t="str">
        <f>A$5</f>
        <v>(€000)</v>
      </c>
      <c r="B151" s="70"/>
      <c r="C151" s="70"/>
      <c r="D151" s="70"/>
      <c r="E151" s="70"/>
      <c r="F151" s="70" t="str">
        <f>F5</f>
        <v>LE</v>
      </c>
      <c r="G151" s="70" t="str">
        <f>G5</f>
        <v>Prognose</v>
      </c>
      <c r="H151" s="70" t="str">
        <f>H5</f>
        <v>Prognose</v>
      </c>
      <c r="I151" s="70" t="str">
        <f>I5</f>
        <v>Prognose</v>
      </c>
      <c r="J151" s="70" t="str">
        <f>J5</f>
        <v>Prognose</v>
      </c>
      <c r="K151" s="70" t="str">
        <f t="shared" ref="K151" si="150">K5</f>
        <v>Prognose</v>
      </c>
      <c r="L151" s="59"/>
    </row>
    <row r="152" spans="1:12" x14ac:dyDescent="0.25">
      <c r="A152" s="4"/>
      <c r="B152" s="2"/>
      <c r="C152" s="2"/>
      <c r="D152" s="2"/>
      <c r="E152" s="2"/>
      <c r="F152" s="32"/>
      <c r="G152" s="32"/>
      <c r="H152" s="32"/>
      <c r="I152" s="32"/>
      <c r="J152" s="32"/>
      <c r="K152" s="32"/>
      <c r="L152" s="59"/>
    </row>
    <row r="153" spans="1:12" x14ac:dyDescent="0.25">
      <c r="A153" s="1" t="s">
        <v>90</v>
      </c>
      <c r="B153" s="2"/>
      <c r="C153" s="6"/>
      <c r="D153" s="6"/>
      <c r="E153" s="6"/>
      <c r="F153" s="33" t="e">
        <f t="shared" ref="F153:K153" si="151">F38</f>
        <v>#DIV/0!</v>
      </c>
      <c r="G153" s="33" t="e">
        <f t="shared" si="151"/>
        <v>#DIV/0!</v>
      </c>
      <c r="H153" s="33" t="e">
        <f t="shared" si="151"/>
        <v>#DIV/0!</v>
      </c>
      <c r="I153" s="33" t="e">
        <f t="shared" si="151"/>
        <v>#DIV/0!</v>
      </c>
      <c r="J153" s="33" t="e">
        <f t="shared" si="151"/>
        <v>#DIV/0!</v>
      </c>
      <c r="K153" s="33" t="e">
        <f t="shared" si="151"/>
        <v>#DIV/0!</v>
      </c>
      <c r="L153" s="59"/>
    </row>
    <row r="154" spans="1:12" x14ac:dyDescent="0.25">
      <c r="A154" s="4"/>
      <c r="B154" s="2"/>
      <c r="C154" s="3"/>
      <c r="D154" s="3"/>
      <c r="E154" s="3"/>
      <c r="F154" s="34"/>
      <c r="G154" s="34"/>
      <c r="H154" s="34"/>
      <c r="I154" s="34"/>
      <c r="J154" s="34"/>
      <c r="K154" s="34"/>
      <c r="L154" s="59"/>
    </row>
    <row r="155" spans="1:12" x14ac:dyDescent="0.25">
      <c r="A155" s="4" t="s">
        <v>91</v>
      </c>
      <c r="B155" s="2"/>
      <c r="C155" s="3"/>
      <c r="D155" s="3"/>
      <c r="E155" s="3"/>
      <c r="F155" s="34">
        <f t="shared" ref="F155:K155" si="152">-F36</f>
        <v>0</v>
      </c>
      <c r="G155" s="34">
        <f t="shared" si="152"/>
        <v>0</v>
      </c>
      <c r="H155" s="34">
        <f t="shared" si="152"/>
        <v>0</v>
      </c>
      <c r="I155" s="34">
        <f t="shared" si="152"/>
        <v>0</v>
      </c>
      <c r="J155" s="34">
        <f t="shared" si="152"/>
        <v>0</v>
      </c>
      <c r="K155" s="34">
        <f t="shared" si="152"/>
        <v>0</v>
      </c>
      <c r="L155" s="59"/>
    </row>
    <row r="156" spans="1:12" x14ac:dyDescent="0.25">
      <c r="A156" s="4" t="s">
        <v>92</v>
      </c>
      <c r="B156" s="2"/>
      <c r="C156" s="3"/>
      <c r="D156" s="3"/>
      <c r="E156" s="3"/>
      <c r="F156" s="34">
        <v>0</v>
      </c>
      <c r="G156" s="34">
        <v>0</v>
      </c>
      <c r="H156" s="34">
        <v>0</v>
      </c>
      <c r="I156" s="34">
        <v>0</v>
      </c>
      <c r="J156" s="34">
        <v>0</v>
      </c>
      <c r="K156" s="34">
        <v>0</v>
      </c>
      <c r="L156" s="59"/>
    </row>
    <row r="157" spans="1:12" ht="16.5" x14ac:dyDescent="0.35">
      <c r="A157" s="4" t="s">
        <v>93</v>
      </c>
      <c r="B157" s="2"/>
      <c r="C157" s="9"/>
      <c r="D157" s="9"/>
      <c r="E157" s="9"/>
      <c r="F157" s="35">
        <f t="shared" ref="F157:K157" si="153">F114-E114</f>
        <v>0</v>
      </c>
      <c r="G157" s="35">
        <f t="shared" si="153"/>
        <v>0</v>
      </c>
      <c r="H157" s="35">
        <f t="shared" si="153"/>
        <v>0</v>
      </c>
      <c r="I157" s="35">
        <f t="shared" si="153"/>
        <v>0</v>
      </c>
      <c r="J157" s="35">
        <f t="shared" si="153"/>
        <v>0</v>
      </c>
      <c r="K157" s="35">
        <f t="shared" si="153"/>
        <v>0</v>
      </c>
      <c r="L157" s="59"/>
    </row>
    <row r="158" spans="1:12" x14ac:dyDescent="0.25">
      <c r="A158" s="4" t="s">
        <v>94</v>
      </c>
      <c r="B158" s="2"/>
      <c r="C158" s="3"/>
      <c r="D158" s="3"/>
      <c r="E158" s="3"/>
      <c r="F158" s="34">
        <f t="shared" ref="F158:J158" si="154">SUM(F155:F157)</f>
        <v>0</v>
      </c>
      <c r="G158" s="34">
        <f t="shared" si="154"/>
        <v>0</v>
      </c>
      <c r="H158" s="34">
        <f t="shared" si="154"/>
        <v>0</v>
      </c>
      <c r="I158" s="34">
        <f t="shared" si="154"/>
        <v>0</v>
      </c>
      <c r="J158" s="34">
        <f t="shared" si="154"/>
        <v>0</v>
      </c>
      <c r="K158" s="34">
        <f t="shared" ref="K158" si="155">SUM(K155:K157)</f>
        <v>0</v>
      </c>
      <c r="L158" s="59"/>
    </row>
    <row r="159" spans="1:12" x14ac:dyDescent="0.25">
      <c r="A159" s="4"/>
      <c r="B159" s="2"/>
      <c r="C159" s="3"/>
      <c r="D159" s="3"/>
      <c r="E159" s="3"/>
      <c r="F159" s="34"/>
      <c r="G159" s="34"/>
      <c r="H159" s="34"/>
      <c r="I159" s="34"/>
      <c r="J159" s="34"/>
      <c r="K159" s="34"/>
      <c r="L159" s="59"/>
    </row>
    <row r="160" spans="1:12" x14ac:dyDescent="0.25">
      <c r="A160" s="4" t="s">
        <v>95</v>
      </c>
      <c r="B160" s="2"/>
      <c r="C160" s="3"/>
      <c r="D160" s="3"/>
      <c r="E160" s="3"/>
      <c r="F160" s="34">
        <f t="shared" ref="F160:K160" si="156">F98-E98</f>
        <v>0</v>
      </c>
      <c r="G160" s="34">
        <f t="shared" si="156"/>
        <v>0</v>
      </c>
      <c r="H160" s="34">
        <f t="shared" si="156"/>
        <v>0</v>
      </c>
      <c r="I160" s="34">
        <f t="shared" si="156"/>
        <v>0</v>
      </c>
      <c r="J160" s="34">
        <f t="shared" si="156"/>
        <v>0</v>
      </c>
      <c r="K160" s="34">
        <f t="shared" si="156"/>
        <v>0</v>
      </c>
      <c r="L160" s="59"/>
    </row>
    <row r="161" spans="1:12" x14ac:dyDescent="0.25">
      <c r="A161" s="4" t="s">
        <v>96</v>
      </c>
      <c r="B161" s="2"/>
      <c r="C161" s="3"/>
      <c r="D161" s="3"/>
      <c r="E161" s="3"/>
      <c r="F161" s="34">
        <f t="shared" ref="F161:K161" si="157">E138-F138</f>
        <v>0</v>
      </c>
      <c r="G161" s="34">
        <f t="shared" si="157"/>
        <v>0</v>
      </c>
      <c r="H161" s="34">
        <f t="shared" si="157"/>
        <v>0</v>
      </c>
      <c r="I161" s="34">
        <f t="shared" si="157"/>
        <v>0</v>
      </c>
      <c r="J161" s="34">
        <f t="shared" si="157"/>
        <v>0</v>
      </c>
      <c r="K161" s="34">
        <f t="shared" si="157"/>
        <v>0</v>
      </c>
      <c r="L161" s="59"/>
    </row>
    <row r="162" spans="1:12" ht="16.5" x14ac:dyDescent="0.35">
      <c r="A162" s="4" t="s">
        <v>83</v>
      </c>
      <c r="B162" s="2"/>
      <c r="C162" s="9"/>
      <c r="D162" s="9"/>
      <c r="E162" s="9"/>
      <c r="F162" s="35" t="e">
        <f t="shared" ref="F162:K162" si="158">F146-E146</f>
        <v>#DIV/0!</v>
      </c>
      <c r="G162" s="35" t="e">
        <f t="shared" si="158"/>
        <v>#DIV/0!</v>
      </c>
      <c r="H162" s="35" t="e">
        <f t="shared" si="158"/>
        <v>#DIV/0!</v>
      </c>
      <c r="I162" s="35" t="e">
        <f t="shared" si="158"/>
        <v>#DIV/0!</v>
      </c>
      <c r="J162" s="35" t="e">
        <f t="shared" si="158"/>
        <v>#DIV/0!</v>
      </c>
      <c r="K162" s="35" t="e">
        <f t="shared" si="158"/>
        <v>#DIV/0!</v>
      </c>
      <c r="L162" s="59"/>
    </row>
    <row r="163" spans="1:12" x14ac:dyDescent="0.25">
      <c r="A163" s="4" t="s">
        <v>97</v>
      </c>
      <c r="B163" s="2"/>
      <c r="C163" s="3"/>
      <c r="D163" s="3"/>
      <c r="E163" s="3"/>
      <c r="F163" s="34" t="e">
        <f t="shared" ref="F163:J163" si="159">SUM(F160:F162)</f>
        <v>#DIV/0!</v>
      </c>
      <c r="G163" s="34" t="e">
        <f t="shared" si="159"/>
        <v>#DIV/0!</v>
      </c>
      <c r="H163" s="34" t="e">
        <f t="shared" si="159"/>
        <v>#DIV/0!</v>
      </c>
      <c r="I163" s="34" t="e">
        <f t="shared" si="159"/>
        <v>#DIV/0!</v>
      </c>
      <c r="J163" s="34" t="e">
        <f t="shared" si="159"/>
        <v>#DIV/0!</v>
      </c>
      <c r="K163" s="34" t="e">
        <f t="shared" ref="K163" si="160">SUM(K160:K162)</f>
        <v>#DIV/0!</v>
      </c>
      <c r="L163" s="59"/>
    </row>
    <row r="164" spans="1:12" x14ac:dyDescent="0.25">
      <c r="A164" s="4"/>
      <c r="B164" s="2"/>
      <c r="C164" s="3"/>
      <c r="D164" s="3"/>
      <c r="E164" s="3"/>
      <c r="F164" s="34"/>
      <c r="G164" s="34"/>
      <c r="H164" s="34"/>
      <c r="I164" s="34"/>
      <c r="J164" s="34"/>
      <c r="K164" s="34"/>
      <c r="L164" s="59"/>
    </row>
    <row r="165" spans="1:12" x14ac:dyDescent="0.25">
      <c r="A165" s="4" t="s">
        <v>98</v>
      </c>
      <c r="B165" s="2"/>
      <c r="C165" s="3"/>
      <c r="D165" s="3"/>
      <c r="E165" s="3"/>
      <c r="F165" s="34" t="e">
        <f t="shared" ref="F165:J165" si="161">F153+F158+F163</f>
        <v>#DIV/0!</v>
      </c>
      <c r="G165" s="34" t="e">
        <f t="shared" si="161"/>
        <v>#DIV/0!</v>
      </c>
      <c r="H165" s="34" t="e">
        <f t="shared" si="161"/>
        <v>#DIV/0!</v>
      </c>
      <c r="I165" s="34" t="e">
        <f t="shared" si="161"/>
        <v>#DIV/0!</v>
      </c>
      <c r="J165" s="34" t="e">
        <f t="shared" si="161"/>
        <v>#DIV/0!</v>
      </c>
      <c r="K165" s="34" t="e">
        <f t="shared" ref="K165" si="162">K153+K158+K163</f>
        <v>#DIV/0!</v>
      </c>
      <c r="L165" s="59"/>
    </row>
    <row r="166" spans="1:12" x14ac:dyDescent="0.25">
      <c r="A166" s="4"/>
      <c r="B166" s="2"/>
      <c r="C166" s="3"/>
      <c r="D166" s="3"/>
      <c r="E166" s="3"/>
      <c r="F166" s="34"/>
      <c r="G166" s="34"/>
      <c r="H166" s="34"/>
      <c r="I166" s="34"/>
      <c r="J166" s="34"/>
      <c r="K166" s="34"/>
      <c r="L166" s="59"/>
    </row>
    <row r="167" spans="1:12" x14ac:dyDescent="0.25">
      <c r="A167" s="4" t="s">
        <v>99</v>
      </c>
      <c r="B167" s="2"/>
      <c r="C167" s="3"/>
      <c r="D167" s="3"/>
      <c r="E167" s="3"/>
      <c r="F167" s="34">
        <f t="shared" ref="F167:J168" si="163">F41</f>
        <v>0</v>
      </c>
      <c r="G167" s="34">
        <f t="shared" si="163"/>
        <v>0</v>
      </c>
      <c r="H167" s="34">
        <f t="shared" si="163"/>
        <v>0</v>
      </c>
      <c r="I167" s="34">
        <f t="shared" si="163"/>
        <v>0</v>
      </c>
      <c r="J167" s="34">
        <f t="shared" si="163"/>
        <v>0</v>
      </c>
      <c r="K167" s="34">
        <f t="shared" ref="K167" si="164">K41</f>
        <v>0</v>
      </c>
      <c r="L167" s="59"/>
    </row>
    <row r="168" spans="1:12" ht="16.5" x14ac:dyDescent="0.35">
      <c r="A168" s="4" t="s">
        <v>34</v>
      </c>
      <c r="B168" s="2"/>
      <c r="C168" s="9"/>
      <c r="D168" s="9"/>
      <c r="E168" s="9"/>
      <c r="F168" s="35" t="e">
        <f t="shared" si="163"/>
        <v>#DIV/0!</v>
      </c>
      <c r="G168" s="35" t="e">
        <f t="shared" si="163"/>
        <v>#DIV/0!</v>
      </c>
      <c r="H168" s="35" t="e">
        <f t="shared" si="163"/>
        <v>#DIV/0!</v>
      </c>
      <c r="I168" s="35" t="e">
        <f t="shared" si="163"/>
        <v>#DIV/0!</v>
      </c>
      <c r="J168" s="35" t="e">
        <f t="shared" si="163"/>
        <v>#DIV/0!</v>
      </c>
      <c r="K168" s="35" t="e">
        <f t="shared" ref="K168" si="165">K42</f>
        <v>#DIV/0!</v>
      </c>
      <c r="L168" s="59"/>
    </row>
    <row r="169" spans="1:12" x14ac:dyDescent="0.25">
      <c r="A169" s="4"/>
      <c r="B169" s="2"/>
      <c r="C169" s="3"/>
      <c r="D169" s="3"/>
      <c r="E169" s="3"/>
      <c r="F169" s="34" t="e">
        <f t="shared" ref="F169:J169" si="166">SUM(F167:F168)</f>
        <v>#DIV/0!</v>
      </c>
      <c r="G169" s="34" t="e">
        <f t="shared" si="166"/>
        <v>#DIV/0!</v>
      </c>
      <c r="H169" s="34" t="e">
        <f t="shared" si="166"/>
        <v>#DIV/0!</v>
      </c>
      <c r="I169" s="34" t="e">
        <f t="shared" si="166"/>
        <v>#DIV/0!</v>
      </c>
      <c r="J169" s="34" t="e">
        <f t="shared" si="166"/>
        <v>#DIV/0!</v>
      </c>
      <c r="K169" s="34" t="e">
        <f t="shared" ref="K169" si="167">SUM(K167:K168)</f>
        <v>#DIV/0!</v>
      </c>
      <c r="L169" s="59"/>
    </row>
    <row r="170" spans="1:12" x14ac:dyDescent="0.25">
      <c r="A170" s="4"/>
      <c r="B170" s="2"/>
      <c r="C170" s="3"/>
      <c r="D170" s="3"/>
      <c r="E170" s="3"/>
      <c r="F170" s="34"/>
      <c r="G170" s="34"/>
      <c r="H170" s="34"/>
      <c r="I170" s="34"/>
      <c r="J170" s="34"/>
      <c r="K170" s="34"/>
      <c r="L170" s="59"/>
    </row>
    <row r="171" spans="1:12" x14ac:dyDescent="0.25">
      <c r="A171" s="1" t="s">
        <v>100</v>
      </c>
      <c r="B171" s="2"/>
      <c r="C171" s="6"/>
      <c r="D171" s="6"/>
      <c r="E171" s="6"/>
      <c r="F171" s="33" t="e">
        <f>F165+F169</f>
        <v>#DIV/0!</v>
      </c>
      <c r="G171" s="33" t="e">
        <f t="shared" ref="G171:J171" si="168">G165+G169</f>
        <v>#DIV/0!</v>
      </c>
      <c r="H171" s="33" t="e">
        <f t="shared" si="168"/>
        <v>#DIV/0!</v>
      </c>
      <c r="I171" s="33" t="e">
        <f t="shared" si="168"/>
        <v>#DIV/0!</v>
      </c>
      <c r="J171" s="33" t="e">
        <f t="shared" si="168"/>
        <v>#DIV/0!</v>
      </c>
      <c r="K171" s="33" t="e">
        <f t="shared" ref="K171" si="169">K165+K169</f>
        <v>#DIV/0!</v>
      </c>
      <c r="L171" s="59"/>
    </row>
    <row r="172" spans="1:12" x14ac:dyDescent="0.25">
      <c r="A172" s="1"/>
      <c r="B172" s="2"/>
      <c r="C172" s="6"/>
      <c r="D172" s="6"/>
      <c r="E172" s="6"/>
      <c r="F172" s="33"/>
      <c r="G172" s="33"/>
      <c r="H172" s="33"/>
      <c r="I172" s="33"/>
      <c r="J172" s="33"/>
      <c r="K172" s="33"/>
      <c r="L172" s="59"/>
    </row>
    <row r="173" spans="1:12" x14ac:dyDescent="0.25">
      <c r="A173" s="4" t="s">
        <v>101</v>
      </c>
      <c r="B173" s="2"/>
      <c r="C173" s="3"/>
      <c r="D173" s="3"/>
      <c r="E173" s="3"/>
      <c r="F173" s="34">
        <f t="shared" ref="F173:K173" si="170">E95-F95</f>
        <v>0</v>
      </c>
      <c r="G173" s="34">
        <f t="shared" si="170"/>
        <v>0</v>
      </c>
      <c r="H173" s="34">
        <f t="shared" si="170"/>
        <v>0</v>
      </c>
      <c r="I173" s="34">
        <f t="shared" si="170"/>
        <v>0</v>
      </c>
      <c r="J173" s="34">
        <f t="shared" si="170"/>
        <v>0</v>
      </c>
      <c r="K173" s="34">
        <f t="shared" si="170"/>
        <v>0</v>
      </c>
      <c r="L173" s="59"/>
    </row>
    <row r="174" spans="1:12" x14ac:dyDescent="0.25">
      <c r="A174" s="4" t="s">
        <v>102</v>
      </c>
      <c r="B174" s="2"/>
      <c r="C174" s="3"/>
      <c r="D174" s="3"/>
      <c r="E174" s="3"/>
      <c r="F174" s="34">
        <f>E93-F93</f>
        <v>0</v>
      </c>
      <c r="G174" s="34">
        <f t="shared" ref="G174:K174" si="171">F93-G93</f>
        <v>0</v>
      </c>
      <c r="H174" s="34">
        <f t="shared" si="171"/>
        <v>0</v>
      </c>
      <c r="I174" s="34">
        <f t="shared" si="171"/>
        <v>0</v>
      </c>
      <c r="J174" s="34">
        <f t="shared" si="171"/>
        <v>0</v>
      </c>
      <c r="K174" s="34">
        <f t="shared" si="171"/>
        <v>0</v>
      </c>
      <c r="L174" s="59"/>
    </row>
    <row r="175" spans="1:12" ht="16.5" x14ac:dyDescent="0.35">
      <c r="A175" s="4" t="s">
        <v>103</v>
      </c>
      <c r="B175" s="2"/>
      <c r="C175" s="3"/>
      <c r="D175" s="3"/>
      <c r="E175" s="3"/>
      <c r="F175" s="35">
        <f t="shared" ref="F175:K175" si="172">F94-E94-E36</f>
        <v>0</v>
      </c>
      <c r="G175" s="35">
        <f t="shared" si="172"/>
        <v>0</v>
      </c>
      <c r="H175" s="35">
        <f t="shared" si="172"/>
        <v>0</v>
      </c>
      <c r="I175" s="35">
        <f t="shared" si="172"/>
        <v>0</v>
      </c>
      <c r="J175" s="35">
        <f t="shared" si="172"/>
        <v>0</v>
      </c>
      <c r="K175" s="35">
        <f t="shared" si="172"/>
        <v>0</v>
      </c>
      <c r="L175" s="59"/>
    </row>
    <row r="176" spans="1:12" x14ac:dyDescent="0.25">
      <c r="A176" s="1" t="s">
        <v>104</v>
      </c>
      <c r="B176" s="2"/>
      <c r="C176" s="6"/>
      <c r="D176" s="6"/>
      <c r="E176" s="6"/>
      <c r="F176" s="33">
        <f>SUM(F173:F175)</f>
        <v>0</v>
      </c>
      <c r="G176" s="33">
        <f t="shared" ref="G176:J176" si="173">SUM(G173:G175)</f>
        <v>0</v>
      </c>
      <c r="H176" s="33">
        <f t="shared" si="173"/>
        <v>0</v>
      </c>
      <c r="I176" s="33">
        <f t="shared" si="173"/>
        <v>0</v>
      </c>
      <c r="J176" s="33">
        <f t="shared" si="173"/>
        <v>0</v>
      </c>
      <c r="K176" s="33">
        <f t="shared" ref="K176" si="174">SUM(K173:K175)</f>
        <v>0</v>
      </c>
      <c r="L176" s="59"/>
    </row>
    <row r="177" spans="1:12" x14ac:dyDescent="0.25">
      <c r="A177" s="4"/>
      <c r="B177" s="2"/>
      <c r="C177" s="3"/>
      <c r="D177" s="3"/>
      <c r="E177" s="3"/>
      <c r="F177" s="34"/>
      <c r="G177" s="34"/>
      <c r="H177" s="34"/>
      <c r="I177" s="34"/>
      <c r="J177" s="34"/>
      <c r="K177" s="34"/>
      <c r="L177" s="59"/>
    </row>
    <row r="178" spans="1:12" x14ac:dyDescent="0.25">
      <c r="A178" s="4" t="s">
        <v>105</v>
      </c>
      <c r="B178" s="2"/>
      <c r="C178" s="3"/>
      <c r="D178" s="3"/>
      <c r="E178" s="3"/>
      <c r="F178" s="34"/>
      <c r="G178" s="34"/>
      <c r="H178" s="34"/>
      <c r="I178" s="34"/>
      <c r="J178" s="34"/>
      <c r="K178" s="34"/>
      <c r="L178" s="59"/>
    </row>
    <row r="179" spans="1:12" ht="16.5" x14ac:dyDescent="0.35">
      <c r="A179" s="4" t="s">
        <v>106</v>
      </c>
      <c r="B179" s="2"/>
      <c r="C179" s="9"/>
      <c r="D179" s="9"/>
      <c r="E179" s="9"/>
      <c r="F179" s="35">
        <f t="shared" ref="F179:K179" si="175">F119-E119</f>
        <v>0</v>
      </c>
      <c r="G179" s="35">
        <f t="shared" si="175"/>
        <v>0</v>
      </c>
      <c r="H179" s="35">
        <f t="shared" si="175"/>
        <v>0</v>
      </c>
      <c r="I179" s="35">
        <f t="shared" si="175"/>
        <v>0</v>
      </c>
      <c r="J179" s="35">
        <f t="shared" si="175"/>
        <v>0</v>
      </c>
      <c r="K179" s="35">
        <f t="shared" si="175"/>
        <v>0</v>
      </c>
      <c r="L179" s="59"/>
    </row>
    <row r="180" spans="1:12" x14ac:dyDescent="0.25">
      <c r="A180" s="1" t="s">
        <v>107</v>
      </c>
      <c r="B180" s="2"/>
      <c r="C180" s="6"/>
      <c r="D180" s="6"/>
      <c r="E180" s="6"/>
      <c r="F180" s="33">
        <f>SUM(F178:F179)</f>
        <v>0</v>
      </c>
      <c r="G180" s="33">
        <f t="shared" ref="G180:J180" si="176">SUM(G178:G179)</f>
        <v>0</v>
      </c>
      <c r="H180" s="33">
        <f t="shared" si="176"/>
        <v>0</v>
      </c>
      <c r="I180" s="33">
        <f t="shared" si="176"/>
        <v>0</v>
      </c>
      <c r="J180" s="33">
        <f t="shared" si="176"/>
        <v>0</v>
      </c>
      <c r="K180" s="33">
        <f t="shared" ref="K180" si="177">SUM(K178:K179)</f>
        <v>0</v>
      </c>
      <c r="L180" s="59"/>
    </row>
    <row r="181" spans="1:12" x14ac:dyDescent="0.25">
      <c r="A181" s="4"/>
      <c r="B181" s="2"/>
      <c r="C181" s="3"/>
      <c r="D181" s="3"/>
      <c r="E181" s="3"/>
      <c r="F181" s="34"/>
      <c r="G181" s="34"/>
      <c r="H181" s="34"/>
      <c r="I181" s="34"/>
      <c r="J181" s="34"/>
      <c r="K181" s="34"/>
      <c r="L181" s="59"/>
    </row>
    <row r="182" spans="1:12" x14ac:dyDescent="0.25">
      <c r="A182" s="1" t="s">
        <v>108</v>
      </c>
      <c r="B182" s="2"/>
      <c r="C182" s="6"/>
      <c r="D182" s="6"/>
      <c r="E182" s="6"/>
      <c r="F182" s="33" t="e">
        <f>F171+F176+F180</f>
        <v>#DIV/0!</v>
      </c>
      <c r="G182" s="33" t="e">
        <f t="shared" ref="G182:J182" si="178">G171+G176+G180</f>
        <v>#DIV/0!</v>
      </c>
      <c r="H182" s="33" t="e">
        <f t="shared" si="178"/>
        <v>#DIV/0!</v>
      </c>
      <c r="I182" s="33" t="e">
        <f t="shared" si="178"/>
        <v>#DIV/0!</v>
      </c>
      <c r="J182" s="33" t="e">
        <f t="shared" si="178"/>
        <v>#DIV/0!</v>
      </c>
      <c r="K182" s="33" t="e">
        <f t="shared" ref="K182" si="179">K171+K176+K180</f>
        <v>#DIV/0!</v>
      </c>
      <c r="L182" s="59"/>
    </row>
    <row r="183" spans="1:12" x14ac:dyDescent="0.25">
      <c r="A183" s="4"/>
      <c r="B183" s="2"/>
      <c r="C183" s="3"/>
      <c r="D183" s="3"/>
      <c r="E183" s="3"/>
      <c r="F183" s="34"/>
      <c r="G183" s="34"/>
      <c r="H183" s="34"/>
      <c r="I183" s="34"/>
      <c r="J183" s="34"/>
      <c r="K183" s="34"/>
      <c r="L183" s="59"/>
    </row>
    <row r="184" spans="1:12" x14ac:dyDescent="0.25">
      <c r="A184" s="4" t="s">
        <v>109</v>
      </c>
      <c r="B184" s="2"/>
      <c r="C184" s="3"/>
      <c r="D184" s="3"/>
      <c r="E184" s="3"/>
      <c r="F184" s="34">
        <f t="shared" ref="F184:K184" si="180">E105</f>
        <v>0</v>
      </c>
      <c r="G184" s="34" t="e">
        <f t="shared" si="180"/>
        <v>#DIV/0!</v>
      </c>
      <c r="H184" s="34" t="e">
        <f t="shared" si="180"/>
        <v>#DIV/0!</v>
      </c>
      <c r="I184" s="34" t="e">
        <f t="shared" si="180"/>
        <v>#DIV/0!</v>
      </c>
      <c r="J184" s="34" t="e">
        <f t="shared" si="180"/>
        <v>#DIV/0!</v>
      </c>
      <c r="K184" s="34" t="e">
        <f t="shared" si="180"/>
        <v>#DIV/0!</v>
      </c>
      <c r="L184" s="59"/>
    </row>
    <row r="185" spans="1:12" ht="16.5" x14ac:dyDescent="0.35">
      <c r="A185" s="4" t="s">
        <v>110</v>
      </c>
      <c r="B185" s="2"/>
      <c r="C185" s="9"/>
      <c r="D185" s="9"/>
      <c r="E185" s="9"/>
      <c r="F185" s="35" t="e">
        <f t="shared" ref="F185:J185" si="181">F182</f>
        <v>#DIV/0!</v>
      </c>
      <c r="G185" s="35" t="e">
        <f t="shared" si="181"/>
        <v>#DIV/0!</v>
      </c>
      <c r="H185" s="35" t="e">
        <f t="shared" si="181"/>
        <v>#DIV/0!</v>
      </c>
      <c r="I185" s="35" t="e">
        <f t="shared" si="181"/>
        <v>#DIV/0!</v>
      </c>
      <c r="J185" s="35" t="e">
        <f t="shared" si="181"/>
        <v>#DIV/0!</v>
      </c>
      <c r="K185" s="35" t="e">
        <f t="shared" ref="K185" si="182">K182</f>
        <v>#DIV/0!</v>
      </c>
      <c r="L185" s="59"/>
    </row>
    <row r="186" spans="1:12" x14ac:dyDescent="0.25">
      <c r="A186" s="4" t="s">
        <v>111</v>
      </c>
      <c r="B186" s="2"/>
      <c r="C186" s="3"/>
      <c r="D186" s="3"/>
      <c r="E186" s="3"/>
      <c r="F186" s="34" t="e">
        <f t="shared" ref="F186:H186" si="183">SUM(F184:F185)</f>
        <v>#DIV/0!</v>
      </c>
      <c r="G186" s="34" t="e">
        <f t="shared" si="183"/>
        <v>#DIV/0!</v>
      </c>
      <c r="H186" s="34" t="e">
        <f t="shared" si="183"/>
        <v>#DIV/0!</v>
      </c>
      <c r="I186" s="34" t="e">
        <f>SUM(I184:I185)</f>
        <v>#DIV/0!</v>
      </c>
      <c r="J186" s="34" t="e">
        <f t="shared" ref="J186:K186" si="184">SUM(J184:J185)</f>
        <v>#DIV/0!</v>
      </c>
      <c r="K186" s="34" t="e">
        <f t="shared" si="184"/>
        <v>#DIV/0!</v>
      </c>
      <c r="L186" s="59"/>
    </row>
    <row r="187" spans="1:12" x14ac:dyDescent="0.25">
      <c r="A187" s="55"/>
      <c r="B187" s="36"/>
      <c r="C187" s="36"/>
      <c r="D187" s="36"/>
      <c r="E187" s="36"/>
      <c r="F187" s="37"/>
      <c r="G187" s="37"/>
      <c r="H187" s="37"/>
      <c r="I187" s="37"/>
      <c r="J187" s="37"/>
      <c r="K187" s="37"/>
      <c r="L187" s="59"/>
    </row>
    <row r="188" spans="1:12" x14ac:dyDescent="0.25">
      <c r="L188" s="59"/>
    </row>
    <row r="189" spans="1:12" x14ac:dyDescent="0.25">
      <c r="A189" s="67" t="s">
        <v>128</v>
      </c>
      <c r="B189" s="68"/>
      <c r="C189" s="68"/>
      <c r="D189" s="68"/>
      <c r="E189" s="68"/>
      <c r="F189" s="68">
        <f t="shared" ref="F189:J189" si="185">F$4</f>
        <v>2025</v>
      </c>
      <c r="G189" s="68">
        <f t="shared" si="185"/>
        <v>2026</v>
      </c>
      <c r="H189" s="68">
        <f t="shared" si="185"/>
        <v>2027</v>
      </c>
      <c r="I189" s="68">
        <f t="shared" si="185"/>
        <v>2028</v>
      </c>
      <c r="J189" s="68">
        <f t="shared" si="185"/>
        <v>2029</v>
      </c>
      <c r="K189" s="68" t="str">
        <f>K$4</f>
        <v>RP</v>
      </c>
      <c r="L189" s="59"/>
    </row>
    <row r="190" spans="1:12" x14ac:dyDescent="0.25">
      <c r="A190" s="69"/>
      <c r="B190" s="70"/>
      <c r="C190" s="70"/>
      <c r="D190" s="70"/>
      <c r="E190" s="70"/>
      <c r="F190" s="70"/>
      <c r="G190" s="70"/>
      <c r="H190" s="70"/>
      <c r="I190" s="70"/>
      <c r="J190" s="70"/>
      <c r="K190" s="70"/>
      <c r="L190" s="59"/>
    </row>
    <row r="191" spans="1:12" x14ac:dyDescent="0.25">
      <c r="A191" s="97" t="s">
        <v>31</v>
      </c>
      <c r="B191" s="98"/>
      <c r="C191" s="98"/>
      <c r="F191" s="103" t="e">
        <f t="shared" ref="F191:K191" si="186">F38</f>
        <v>#DIV/0!</v>
      </c>
      <c r="G191" s="103" t="e">
        <f t="shared" si="186"/>
        <v>#DIV/0!</v>
      </c>
      <c r="H191" s="103" t="e">
        <f t="shared" si="186"/>
        <v>#DIV/0!</v>
      </c>
      <c r="I191" s="103" t="e">
        <f t="shared" si="186"/>
        <v>#DIV/0!</v>
      </c>
      <c r="J191" s="103" t="e">
        <f t="shared" si="186"/>
        <v>#DIV/0!</v>
      </c>
      <c r="K191" s="103" t="e">
        <f t="shared" si="186"/>
        <v>#DIV/0!</v>
      </c>
      <c r="L191" s="59"/>
    </row>
    <row r="192" spans="1:12" x14ac:dyDescent="0.25">
      <c r="A192" s="97" t="s">
        <v>129</v>
      </c>
      <c r="B192" s="99"/>
      <c r="C192" s="98"/>
      <c r="F192" s="136" t="e">
        <f>F42</f>
        <v>#DIV/0!</v>
      </c>
      <c r="G192" s="136" t="e">
        <f t="shared" ref="G192:J192" si="187">G42</f>
        <v>#DIV/0!</v>
      </c>
      <c r="H192" s="136" t="e">
        <f t="shared" si="187"/>
        <v>#DIV/0!</v>
      </c>
      <c r="I192" s="136" t="e">
        <f t="shared" si="187"/>
        <v>#DIV/0!</v>
      </c>
      <c r="J192" s="136" t="e">
        <f t="shared" si="187"/>
        <v>#DIV/0!</v>
      </c>
      <c r="K192" s="136" t="e">
        <f>K42</f>
        <v>#DIV/0!</v>
      </c>
      <c r="L192" s="59"/>
    </row>
    <row r="193" spans="1:12" x14ac:dyDescent="0.25">
      <c r="A193" s="100" t="s">
        <v>130</v>
      </c>
      <c r="B193" s="101"/>
      <c r="C193" s="101"/>
      <c r="F193" s="105" t="e">
        <f>SUM(F191:F192)</f>
        <v>#DIV/0!</v>
      </c>
      <c r="G193" s="105" t="e">
        <f t="shared" ref="G193:J193" si="188">SUM(G191:G192)</f>
        <v>#DIV/0!</v>
      </c>
      <c r="H193" s="105" t="e">
        <f t="shared" si="188"/>
        <v>#DIV/0!</v>
      </c>
      <c r="I193" s="105" t="e">
        <f t="shared" si="188"/>
        <v>#DIV/0!</v>
      </c>
      <c r="J193" s="105" t="e">
        <f t="shared" si="188"/>
        <v>#DIV/0!</v>
      </c>
      <c r="K193" s="105" t="e">
        <f t="shared" ref="K193" si="189">SUM(K191:K192)</f>
        <v>#DIV/0!</v>
      </c>
      <c r="L193" s="59"/>
    </row>
    <row r="194" spans="1:12" x14ac:dyDescent="0.25">
      <c r="A194" s="97"/>
      <c r="B194" s="98"/>
      <c r="C194" s="98"/>
      <c r="F194" s="103"/>
      <c r="G194" s="103"/>
      <c r="H194" s="103"/>
      <c r="I194" s="103"/>
      <c r="J194" s="103"/>
      <c r="K194" s="103"/>
      <c r="L194" s="59"/>
    </row>
    <row r="195" spans="1:12" x14ac:dyDescent="0.25">
      <c r="A195" s="97" t="s">
        <v>131</v>
      </c>
      <c r="B195" s="98"/>
      <c r="C195" s="98"/>
      <c r="F195" s="103">
        <f>-SUM(F36:F37)</f>
        <v>0</v>
      </c>
      <c r="G195" s="103">
        <f t="shared" ref="G195:K195" si="190">-SUM(G36:G37)</f>
        <v>0</v>
      </c>
      <c r="H195" s="103">
        <f t="shared" si="190"/>
        <v>0</v>
      </c>
      <c r="I195" s="103">
        <f t="shared" si="190"/>
        <v>0</v>
      </c>
      <c r="J195" s="103">
        <f t="shared" si="190"/>
        <v>0</v>
      </c>
      <c r="K195" s="103">
        <f t="shared" si="190"/>
        <v>0</v>
      </c>
      <c r="L195" s="59"/>
    </row>
    <row r="196" spans="1:12" x14ac:dyDescent="0.25">
      <c r="A196" s="100" t="s">
        <v>132</v>
      </c>
      <c r="B196" s="101"/>
      <c r="C196" s="101"/>
      <c r="F196" s="105" t="e">
        <f>F193+F195</f>
        <v>#DIV/0!</v>
      </c>
      <c r="G196" s="105" t="e">
        <f t="shared" ref="G196:J196" si="191">G193+G195</f>
        <v>#DIV/0!</v>
      </c>
      <c r="H196" s="105" t="e">
        <f t="shared" si="191"/>
        <v>#DIV/0!</v>
      </c>
      <c r="I196" s="105" t="e">
        <f t="shared" si="191"/>
        <v>#DIV/0!</v>
      </c>
      <c r="J196" s="105" t="e">
        <f t="shared" si="191"/>
        <v>#DIV/0!</v>
      </c>
      <c r="K196" s="105" t="e">
        <f t="shared" ref="K196" si="192">K193+K195</f>
        <v>#DIV/0!</v>
      </c>
      <c r="L196" s="59"/>
    </row>
    <row r="197" spans="1:12" x14ac:dyDescent="0.25">
      <c r="A197" s="100"/>
      <c r="B197" s="101"/>
      <c r="C197" s="101"/>
      <c r="F197" s="105"/>
      <c r="G197" s="105"/>
      <c r="H197" s="105"/>
      <c r="I197" s="105"/>
      <c r="J197" s="105"/>
      <c r="K197" s="105"/>
      <c r="L197" s="59"/>
    </row>
    <row r="198" spans="1:12" x14ac:dyDescent="0.25">
      <c r="A198" s="97" t="s">
        <v>133</v>
      </c>
      <c r="B198" s="98"/>
      <c r="C198" s="98"/>
      <c r="F198" s="103">
        <f>F175</f>
        <v>0</v>
      </c>
      <c r="G198" s="103">
        <f t="shared" ref="G198:K198" si="193">G175</f>
        <v>0</v>
      </c>
      <c r="H198" s="103">
        <f t="shared" si="193"/>
        <v>0</v>
      </c>
      <c r="I198" s="103">
        <f t="shared" si="193"/>
        <v>0</v>
      </c>
      <c r="J198" s="103">
        <f t="shared" si="193"/>
        <v>0</v>
      </c>
      <c r="K198" s="103">
        <f t="shared" si="193"/>
        <v>0</v>
      </c>
      <c r="L198" s="59"/>
    </row>
    <row r="199" spans="1:12" x14ac:dyDescent="0.25">
      <c r="A199" s="97" t="s">
        <v>134</v>
      </c>
      <c r="B199" s="98"/>
      <c r="C199" s="98"/>
      <c r="F199" s="104" t="e">
        <f>F163</f>
        <v>#DIV/0!</v>
      </c>
      <c r="G199" s="104" t="e">
        <f t="shared" ref="G199:K199" si="194">G163</f>
        <v>#DIV/0!</v>
      </c>
      <c r="H199" s="104" t="e">
        <f t="shared" si="194"/>
        <v>#DIV/0!</v>
      </c>
      <c r="I199" s="104" t="e">
        <f t="shared" si="194"/>
        <v>#DIV/0!</v>
      </c>
      <c r="J199" s="104" t="e">
        <f t="shared" si="194"/>
        <v>#DIV/0!</v>
      </c>
      <c r="K199" s="104" t="e">
        <f t="shared" si="194"/>
        <v>#DIV/0!</v>
      </c>
      <c r="L199" s="59"/>
    </row>
    <row r="200" spans="1:12" x14ac:dyDescent="0.25">
      <c r="A200" s="100" t="s">
        <v>135</v>
      </c>
      <c r="B200" s="101"/>
      <c r="C200" s="101"/>
      <c r="F200" s="105" t="e">
        <f>F196+F199+F198</f>
        <v>#DIV/0!</v>
      </c>
      <c r="G200" s="105" t="e">
        <f t="shared" ref="G200:J200" si="195">G196+G199+G198</f>
        <v>#DIV/0!</v>
      </c>
      <c r="H200" s="105" t="e">
        <f t="shared" si="195"/>
        <v>#DIV/0!</v>
      </c>
      <c r="I200" s="105" t="e">
        <f t="shared" si="195"/>
        <v>#DIV/0!</v>
      </c>
      <c r="J200" s="105" t="e">
        <f t="shared" si="195"/>
        <v>#DIV/0!</v>
      </c>
      <c r="K200" s="105" t="e">
        <f t="shared" ref="K200" si="196">K196+K199+K198</f>
        <v>#DIV/0!</v>
      </c>
      <c r="L200" s="59"/>
    </row>
    <row r="201" spans="1:12" x14ac:dyDescent="0.25">
      <c r="A201" s="100"/>
      <c r="B201" s="101"/>
      <c r="C201" s="101"/>
      <c r="L201" s="59"/>
    </row>
    <row r="202" spans="1:12" x14ac:dyDescent="0.25">
      <c r="A202" s="97"/>
      <c r="B202" s="98"/>
      <c r="C202" s="98"/>
      <c r="L202" s="59"/>
    </row>
    <row r="203" spans="1:12" x14ac:dyDescent="0.25">
      <c r="A203" s="106" t="s">
        <v>136</v>
      </c>
      <c r="B203" s="107"/>
      <c r="C203" s="108">
        <f>WACC!D11</f>
        <v>0.1331</v>
      </c>
      <c r="L203" s="59"/>
    </row>
    <row r="204" spans="1:12" x14ac:dyDescent="0.25">
      <c r="A204" s="109" t="s">
        <v>137</v>
      </c>
      <c r="B204" s="110"/>
      <c r="C204" s="111">
        <f>C203</f>
        <v>0.1331</v>
      </c>
      <c r="L204" s="59"/>
    </row>
    <row r="205" spans="1:12" x14ac:dyDescent="0.25">
      <c r="A205" s="112" t="s">
        <v>138</v>
      </c>
      <c r="B205" s="113"/>
      <c r="C205" s="114">
        <v>2.5000000000000001E-2</v>
      </c>
      <c r="L205" s="59"/>
    </row>
    <row r="206" spans="1:12" x14ac:dyDescent="0.25">
      <c r="A206" s="97"/>
      <c r="B206" s="98"/>
      <c r="C206" s="98"/>
      <c r="L206" s="59"/>
    </row>
    <row r="207" spans="1:12" x14ac:dyDescent="0.25">
      <c r="A207" s="67" t="s">
        <v>139</v>
      </c>
      <c r="B207" s="68"/>
      <c r="C207" s="68"/>
      <c r="D207" s="68"/>
      <c r="E207" s="68"/>
      <c r="F207" s="68">
        <f t="shared" ref="F207:J207" si="197">F$4</f>
        <v>2025</v>
      </c>
      <c r="G207" s="68">
        <f t="shared" si="197"/>
        <v>2026</v>
      </c>
      <c r="H207" s="68">
        <f t="shared" si="197"/>
        <v>2027</v>
      </c>
      <c r="I207" s="68">
        <f t="shared" si="197"/>
        <v>2028</v>
      </c>
      <c r="J207" s="68">
        <f t="shared" si="197"/>
        <v>2029</v>
      </c>
      <c r="K207" s="68" t="str">
        <f>K$4</f>
        <v>RP</v>
      </c>
      <c r="L207" s="59"/>
    </row>
    <row r="208" spans="1:12" x14ac:dyDescent="0.25">
      <c r="A208" s="69" t="s">
        <v>1</v>
      </c>
      <c r="B208" s="70"/>
      <c r="C208" s="70"/>
      <c r="D208" s="70"/>
      <c r="E208" s="70"/>
      <c r="F208" s="69" t="s">
        <v>3</v>
      </c>
      <c r="G208" s="69" t="s">
        <v>3</v>
      </c>
      <c r="H208" s="69" t="s">
        <v>3</v>
      </c>
      <c r="I208" s="69" t="s">
        <v>3</v>
      </c>
      <c r="J208" s="69" t="s">
        <v>3</v>
      </c>
      <c r="K208" s="69" t="s">
        <v>3</v>
      </c>
      <c r="L208" s="59"/>
    </row>
    <row r="209" spans="1:12" x14ac:dyDescent="0.25">
      <c r="A209" s="97" t="s">
        <v>140</v>
      </c>
      <c r="B209" s="98"/>
      <c r="C209" s="115"/>
      <c r="F209" s="116">
        <f>C209+1</f>
        <v>1</v>
      </c>
      <c r="G209" s="116">
        <f>F209+1</f>
        <v>2</v>
      </c>
      <c r="H209" s="116">
        <f t="shared" ref="H209:K209" si="198">G209+1</f>
        <v>3</v>
      </c>
      <c r="I209" s="116">
        <f t="shared" si="198"/>
        <v>4</v>
      </c>
      <c r="J209" s="116">
        <f t="shared" si="198"/>
        <v>5</v>
      </c>
      <c r="K209" s="116">
        <f t="shared" si="198"/>
        <v>6</v>
      </c>
      <c r="L209" s="59"/>
    </row>
    <row r="210" spans="1:12" x14ac:dyDescent="0.25">
      <c r="A210" s="97" t="s">
        <v>141</v>
      </c>
      <c r="B210" s="98"/>
      <c r="C210" s="115"/>
      <c r="F210" s="117" t="e">
        <f>F200</f>
        <v>#DIV/0!</v>
      </c>
      <c r="G210" s="117" t="e">
        <f t="shared" ref="G210:J210" si="199">G200</f>
        <v>#DIV/0!</v>
      </c>
      <c r="H210" s="117" t="e">
        <f t="shared" si="199"/>
        <v>#DIV/0!</v>
      </c>
      <c r="I210" s="117" t="e">
        <f t="shared" si="199"/>
        <v>#DIV/0!</v>
      </c>
      <c r="J210" s="117" t="e">
        <f t="shared" si="199"/>
        <v>#DIV/0!</v>
      </c>
      <c r="K210" s="117" t="e">
        <f t="shared" ref="K210" si="200">K200</f>
        <v>#DIV/0!</v>
      </c>
      <c r="L210" s="59"/>
    </row>
    <row r="211" spans="1:12" ht="16.5" x14ac:dyDescent="0.35">
      <c r="A211" s="97" t="s">
        <v>142</v>
      </c>
      <c r="B211" s="98"/>
      <c r="C211" s="99"/>
      <c r="F211" s="118">
        <f>1/(1+$C204)^F209</f>
        <v>0.88253463948459976</v>
      </c>
      <c r="G211" s="118">
        <f>1/(1+$C$205)^G209</f>
        <v>0.95181439619274244</v>
      </c>
      <c r="H211" s="118">
        <f t="shared" ref="H211:J211" si="201">1/(1+$C$205)^H209</f>
        <v>0.92859941091974885</v>
      </c>
      <c r="I211" s="118">
        <f t="shared" si="201"/>
        <v>0.90595064479975507</v>
      </c>
      <c r="J211" s="118">
        <f t="shared" si="201"/>
        <v>0.88385428760951712</v>
      </c>
      <c r="K211" s="118">
        <f t="shared" ref="K211" si="202">1/(1+$C$205)^K209</f>
        <v>0.86229686596050459</v>
      </c>
      <c r="L211" s="59"/>
    </row>
    <row r="212" spans="1:12" x14ac:dyDescent="0.25">
      <c r="A212" s="97" t="s">
        <v>143</v>
      </c>
      <c r="B212" s="98"/>
      <c r="C212" s="98"/>
      <c r="F212" s="102" t="e">
        <f>F211*F200</f>
        <v>#DIV/0!</v>
      </c>
      <c r="G212" s="102" t="e">
        <f t="shared" ref="G212:J212" si="203">G211*G200</f>
        <v>#DIV/0!</v>
      </c>
      <c r="H212" s="102" t="e">
        <f t="shared" si="203"/>
        <v>#DIV/0!</v>
      </c>
      <c r="I212" s="102" t="e">
        <f t="shared" si="203"/>
        <v>#DIV/0!</v>
      </c>
      <c r="J212" s="102" t="e">
        <f t="shared" si="203"/>
        <v>#DIV/0!</v>
      </c>
      <c r="K212" s="102" t="e">
        <f t="shared" ref="K212" si="204">K211*K200</f>
        <v>#DIV/0!</v>
      </c>
      <c r="L212" s="59"/>
    </row>
    <row r="213" spans="1:12" x14ac:dyDescent="0.25">
      <c r="A213" s="97"/>
      <c r="B213" s="98"/>
      <c r="C213" s="98"/>
      <c r="D213" s="98"/>
      <c r="E213" s="98"/>
      <c r="F213" s="99"/>
      <c r="G213" s="99"/>
      <c r="H213" s="120"/>
      <c r="I213" s="120"/>
      <c r="L213" s="59"/>
    </row>
    <row r="214" spans="1:12" ht="16.5" x14ac:dyDescent="0.35">
      <c r="A214" s="97" t="s">
        <v>144</v>
      </c>
      <c r="B214" s="98"/>
      <c r="C214" s="98"/>
      <c r="D214" s="119" t="e">
        <f>SUM(F212:J212)</f>
        <v>#DIV/0!</v>
      </c>
      <c r="E214" s="99"/>
      <c r="F214" s="99"/>
      <c r="G214" s="99"/>
      <c r="H214" s="120"/>
      <c r="I214" s="120"/>
      <c r="L214" s="59"/>
    </row>
    <row r="215" spans="1:12" x14ac:dyDescent="0.25">
      <c r="A215" s="97"/>
      <c r="B215" s="98"/>
      <c r="C215" s="98"/>
      <c r="D215" s="121"/>
      <c r="E215" s="99"/>
      <c r="F215" s="99"/>
      <c r="G215" s="99"/>
      <c r="H215" s="120"/>
      <c r="I215" s="120"/>
      <c r="L215" s="59"/>
    </row>
    <row r="216" spans="1:12" x14ac:dyDescent="0.25">
      <c r="A216" s="97" t="s">
        <v>145</v>
      </c>
      <c r="B216" s="98"/>
      <c r="C216" s="122" t="e">
        <f>K212</f>
        <v>#DIV/0!</v>
      </c>
      <c r="D216" s="4"/>
      <c r="E216" s="99"/>
      <c r="F216" s="99"/>
      <c r="G216" s="99"/>
      <c r="H216" s="120"/>
      <c r="I216" s="120"/>
      <c r="L216" s="59"/>
    </row>
    <row r="217" spans="1:12" x14ac:dyDescent="0.25">
      <c r="A217" s="97" t="s">
        <v>146</v>
      </c>
      <c r="B217" s="98"/>
      <c r="C217" s="123">
        <f>C204-C205</f>
        <v>0.1081</v>
      </c>
      <c r="D217" s="121"/>
      <c r="E217" s="99"/>
      <c r="F217" s="99"/>
      <c r="G217" s="99"/>
      <c r="H217" s="120"/>
      <c r="I217" s="120"/>
      <c r="L217" s="59"/>
    </row>
    <row r="218" spans="1:12" x14ac:dyDescent="0.25">
      <c r="A218" s="97" t="s">
        <v>147</v>
      </c>
      <c r="B218" s="98"/>
      <c r="C218" s="124" t="e">
        <f>C216/C217</f>
        <v>#DIV/0!</v>
      </c>
      <c r="D218" s="121"/>
      <c r="E218" s="99"/>
      <c r="F218" s="99"/>
      <c r="G218" s="99"/>
      <c r="H218" s="120"/>
      <c r="I218" s="120"/>
      <c r="L218" s="59"/>
    </row>
    <row r="219" spans="1:12" x14ac:dyDescent="0.25">
      <c r="A219" s="97" t="s">
        <v>148</v>
      </c>
      <c r="B219" s="98"/>
      <c r="C219" s="125">
        <f>L211</f>
        <v>0</v>
      </c>
      <c r="D219" s="121"/>
      <c r="E219" s="99"/>
      <c r="F219" s="98"/>
      <c r="G219" s="98"/>
      <c r="H219" s="98"/>
      <c r="I219" s="98"/>
      <c r="L219" s="59"/>
    </row>
    <row r="220" spans="1:12" ht="16.5" x14ac:dyDescent="0.35">
      <c r="A220" s="97" t="s">
        <v>149</v>
      </c>
      <c r="B220" s="98"/>
      <c r="C220" s="4"/>
      <c r="D220" s="126" t="e">
        <f>C218*C219</f>
        <v>#DIV/0!</v>
      </c>
      <c r="E220" s="98"/>
      <c r="F220" s="98"/>
      <c r="G220" s="98"/>
      <c r="H220" s="98"/>
      <c r="I220" s="98"/>
      <c r="L220" s="59"/>
    </row>
    <row r="221" spans="1:12" x14ac:dyDescent="0.25">
      <c r="A221" s="100" t="s">
        <v>150</v>
      </c>
      <c r="B221" s="98"/>
      <c r="C221" s="98"/>
      <c r="D221" s="101" t="e">
        <f>D214+D220</f>
        <v>#DIV/0!</v>
      </c>
      <c r="E221" s="98"/>
      <c r="L221" s="59"/>
    </row>
    <row r="222" spans="1:12" x14ac:dyDescent="0.25">
      <c r="L222" s="59"/>
    </row>
    <row r="223" spans="1:12" x14ac:dyDescent="0.25">
      <c r="A223" s="67" t="s">
        <v>151</v>
      </c>
      <c r="B223" s="68"/>
      <c r="C223" s="127"/>
      <c r="D223" s="127">
        <v>43466</v>
      </c>
      <c r="L223" s="59"/>
    </row>
    <row r="224" spans="1:12" x14ac:dyDescent="0.25">
      <c r="A224" s="69" t="s">
        <v>1</v>
      </c>
      <c r="B224" s="70"/>
      <c r="C224" s="70"/>
      <c r="D224" s="69"/>
      <c r="L224" s="59"/>
    </row>
    <row r="225" spans="1:12" x14ac:dyDescent="0.25">
      <c r="A225" s="128" t="s">
        <v>152</v>
      </c>
      <c r="L225" s="59"/>
    </row>
    <row r="226" spans="1:12" x14ac:dyDescent="0.25">
      <c r="A226" s="57" t="s">
        <v>153</v>
      </c>
      <c r="D226" s="129">
        <f>E105</f>
        <v>0</v>
      </c>
      <c r="L226" s="59"/>
    </row>
    <row r="227" spans="1:12" x14ac:dyDescent="0.25">
      <c r="L227" s="59"/>
    </row>
    <row r="228" spans="1:12" x14ac:dyDescent="0.25">
      <c r="A228" s="128" t="s">
        <v>154</v>
      </c>
      <c r="L228" s="59"/>
    </row>
    <row r="229" spans="1:12" x14ac:dyDescent="0.25">
      <c r="A229" s="57" t="s">
        <v>186</v>
      </c>
      <c r="C229" s="129">
        <f>-E119</f>
        <v>0</v>
      </c>
      <c r="L229" s="59"/>
    </row>
    <row r="230" spans="1:12" x14ac:dyDescent="0.25">
      <c r="C230" s="130"/>
      <c r="D230" s="130"/>
      <c r="L230" s="59"/>
    </row>
    <row r="231" spans="1:12" x14ac:dyDescent="0.25">
      <c r="A231" s="57" t="s">
        <v>155</v>
      </c>
      <c r="D231" s="131">
        <f>C229+D226</f>
        <v>0</v>
      </c>
      <c r="L231" s="59"/>
    </row>
    <row r="232" spans="1:12" x14ac:dyDescent="0.25">
      <c r="L232" s="59"/>
    </row>
    <row r="233" spans="1:12" x14ac:dyDescent="0.25">
      <c r="A233" s="128" t="s">
        <v>156</v>
      </c>
      <c r="B233" s="128"/>
      <c r="C233" s="128"/>
      <c r="D233" s="132">
        <f>D231</f>
        <v>0</v>
      </c>
      <c r="L233" s="59"/>
    </row>
    <row r="234" spans="1:12" x14ac:dyDescent="0.25">
      <c r="L234" s="59"/>
    </row>
    <row r="235" spans="1:12" x14ac:dyDescent="0.25">
      <c r="A235" s="67" t="s">
        <v>157</v>
      </c>
      <c r="B235" s="68"/>
      <c r="C235" s="127"/>
      <c r="D235" s="127">
        <v>43466</v>
      </c>
      <c r="L235" s="59"/>
    </row>
    <row r="236" spans="1:12" x14ac:dyDescent="0.25">
      <c r="A236" s="69" t="s">
        <v>1</v>
      </c>
      <c r="B236" s="70"/>
      <c r="C236" s="70"/>
      <c r="D236" s="69"/>
      <c r="L236" s="59"/>
    </row>
    <row r="237" spans="1:12" x14ac:dyDescent="0.25">
      <c r="D237" s="133"/>
      <c r="L237" s="59"/>
    </row>
    <row r="238" spans="1:12" x14ac:dyDescent="0.25">
      <c r="A238" s="57" t="s">
        <v>158</v>
      </c>
      <c r="D238" s="133" t="e">
        <f>D221</f>
        <v>#DIV/0!</v>
      </c>
      <c r="L238" s="59"/>
    </row>
    <row r="239" spans="1:12" x14ac:dyDescent="0.25">
      <c r="A239" s="57" t="s">
        <v>156</v>
      </c>
      <c r="C239" s="130"/>
      <c r="D239" s="134">
        <f>D233</f>
        <v>0</v>
      </c>
      <c r="L239" s="59"/>
    </row>
    <row r="240" spans="1:12" x14ac:dyDescent="0.25">
      <c r="A240" s="128" t="s">
        <v>159</v>
      </c>
      <c r="B240" s="128"/>
      <c r="C240" s="128"/>
      <c r="D240" s="135" t="e">
        <f>D238+D239</f>
        <v>#DIV/0!</v>
      </c>
      <c r="L240" s="59"/>
    </row>
  </sheetData>
  <mergeCells count="2">
    <mergeCell ref="A1:A2"/>
    <mergeCell ref="L4:L5"/>
  </mergeCells>
  <pageMargins left="0.7" right="0.7" top="0.75" bottom="0.75" header="0.3" footer="0.3"/>
  <ignoredErrors>
    <ignoredError sqref="E76 F75" formulaRange="1"/>
    <ignoredError sqref="F65 G99:J99" formula="1"/>
    <ignoredError sqref="A92 A5 A208 A2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E8EE0-A001-494F-B68A-CE35D2EB2AD9}">
  <dimension ref="A2:J38"/>
  <sheetViews>
    <sheetView workbookViewId="0">
      <selection activeCell="L22" sqref="L22"/>
    </sheetView>
  </sheetViews>
  <sheetFormatPr defaultRowHeight="15" x14ac:dyDescent="0.25"/>
  <cols>
    <col min="1" max="1" width="9.140625" style="57"/>
    <col min="2" max="2" width="67" style="57" bestFit="1" customWidth="1"/>
    <col min="3" max="16384" width="9.140625" style="57"/>
  </cols>
  <sheetData>
    <row r="2" spans="1:10" x14ac:dyDescent="0.25">
      <c r="A2" s="168" t="s">
        <v>161</v>
      </c>
      <c r="B2" s="168"/>
      <c r="C2" s="168"/>
      <c r="D2" s="168"/>
      <c r="E2" s="168"/>
      <c r="F2" s="168"/>
      <c r="G2" s="168"/>
      <c r="H2" s="168"/>
    </row>
    <row r="3" spans="1:10" x14ac:dyDescent="0.25">
      <c r="A3" s="137"/>
      <c r="B3" s="138" t="s">
        <v>162</v>
      </c>
      <c r="C3" s="139"/>
      <c r="D3" s="140" t="s">
        <v>163</v>
      </c>
      <c r="E3" s="137"/>
      <c r="F3" s="137"/>
      <c r="G3" s="137"/>
      <c r="H3" s="137"/>
    </row>
    <row r="4" spans="1:10" x14ac:dyDescent="0.25">
      <c r="A4" s="137"/>
      <c r="B4" s="137"/>
      <c r="C4" s="137"/>
      <c r="D4" s="137"/>
      <c r="E4" s="137"/>
      <c r="F4" s="137"/>
      <c r="G4" s="137"/>
      <c r="H4" s="137"/>
    </row>
    <row r="5" spans="1:10" x14ac:dyDescent="0.25">
      <c r="A5" s="141">
        <v>1</v>
      </c>
      <c r="B5" s="142" t="s">
        <v>164</v>
      </c>
      <c r="C5" s="137"/>
      <c r="D5" s="143">
        <v>2.7199999999999998E-2</v>
      </c>
      <c r="E5" s="137"/>
      <c r="F5" s="137"/>
      <c r="G5" s="137"/>
      <c r="H5" s="137"/>
    </row>
    <row r="6" spans="1:10" x14ac:dyDescent="0.25">
      <c r="A6" s="141">
        <v>2</v>
      </c>
      <c r="B6" s="142" t="s">
        <v>165</v>
      </c>
      <c r="C6" s="137"/>
      <c r="D6" s="143">
        <v>0.05</v>
      </c>
      <c r="E6" s="137"/>
      <c r="F6" s="137"/>
      <c r="G6" s="137"/>
      <c r="H6" s="137"/>
    </row>
    <row r="7" spans="1:10" x14ac:dyDescent="0.25">
      <c r="A7" s="141">
        <v>3</v>
      </c>
      <c r="B7" s="142" t="s">
        <v>166</v>
      </c>
      <c r="C7" s="137"/>
      <c r="D7" s="143">
        <v>5.5899999999999998E-2</v>
      </c>
      <c r="E7" s="137"/>
      <c r="F7" s="137"/>
      <c r="G7" s="137"/>
      <c r="H7" s="137"/>
    </row>
    <row r="8" spans="1:10" x14ac:dyDescent="0.25">
      <c r="A8" s="141">
        <v>4</v>
      </c>
      <c r="B8" s="142" t="s">
        <v>167</v>
      </c>
      <c r="C8" s="137"/>
      <c r="D8" s="143">
        <v>0</v>
      </c>
      <c r="E8" s="137"/>
      <c r="F8" s="137"/>
      <c r="G8" s="137"/>
      <c r="H8" s="137"/>
    </row>
    <row r="9" spans="1:10" x14ac:dyDescent="0.25">
      <c r="A9" s="141">
        <v>5</v>
      </c>
      <c r="B9" s="142" t="s">
        <v>168</v>
      </c>
      <c r="C9" s="137"/>
      <c r="D9" s="143">
        <f>H29</f>
        <v>0</v>
      </c>
      <c r="E9" s="137"/>
      <c r="F9" s="137"/>
      <c r="G9" s="137"/>
      <c r="H9" s="137"/>
    </row>
    <row r="10" spans="1:10" x14ac:dyDescent="0.25">
      <c r="A10" s="141"/>
      <c r="C10" s="137"/>
      <c r="D10" s="144"/>
      <c r="E10" s="137"/>
      <c r="F10" s="137"/>
      <c r="G10" s="137"/>
      <c r="H10" s="137"/>
    </row>
    <row r="11" spans="1:10" x14ac:dyDescent="0.25">
      <c r="A11" s="137"/>
      <c r="B11" s="137"/>
      <c r="C11" s="137"/>
      <c r="D11" s="145">
        <f>SUM(D5:D9)</f>
        <v>0.1331</v>
      </c>
      <c r="E11" s="137"/>
      <c r="F11" s="137"/>
      <c r="G11" s="137"/>
      <c r="H11" s="137"/>
      <c r="I11" s="146"/>
    </row>
    <row r="12" spans="1:10" x14ac:dyDescent="0.25">
      <c r="A12" s="137"/>
      <c r="B12" s="137"/>
      <c r="C12" s="137"/>
      <c r="D12" s="145"/>
      <c r="E12" s="137"/>
      <c r="F12" s="137"/>
      <c r="G12" s="137"/>
      <c r="H12" s="137"/>
    </row>
    <row r="13" spans="1:10" x14ac:dyDescent="0.25">
      <c r="A13" s="141">
        <v>1</v>
      </c>
      <c r="B13" s="142" t="s">
        <v>169</v>
      </c>
      <c r="C13" s="137"/>
      <c r="D13" s="147"/>
      <c r="E13" s="148"/>
      <c r="F13" s="147"/>
      <c r="G13" s="147"/>
      <c r="H13" s="147"/>
      <c r="J13" s="146"/>
    </row>
    <row r="14" spans="1:10" x14ac:dyDescent="0.25">
      <c r="A14" s="141">
        <v>2</v>
      </c>
      <c r="B14" s="142" t="s">
        <v>169</v>
      </c>
      <c r="C14" s="137"/>
      <c r="D14" s="147"/>
      <c r="E14" s="148"/>
      <c r="F14" s="147"/>
      <c r="G14" s="147"/>
      <c r="H14" s="147"/>
    </row>
    <row r="15" spans="1:10" x14ac:dyDescent="0.25">
      <c r="A15" s="141">
        <v>3</v>
      </c>
      <c r="B15" s="142" t="s">
        <v>169</v>
      </c>
      <c r="C15" s="137"/>
      <c r="D15" s="147"/>
      <c r="E15" s="148"/>
      <c r="F15" s="147"/>
      <c r="G15" s="147"/>
      <c r="H15" s="147"/>
    </row>
    <row r="16" spans="1:10" x14ac:dyDescent="0.25">
      <c r="A16" s="141">
        <v>4</v>
      </c>
      <c r="B16" s="142" t="s">
        <v>185</v>
      </c>
      <c r="C16" s="137"/>
      <c r="D16" s="147"/>
      <c r="E16" s="148"/>
      <c r="F16" s="147"/>
      <c r="G16" s="147"/>
      <c r="H16" s="147"/>
    </row>
    <row r="17" spans="1:8" x14ac:dyDescent="0.25">
      <c r="A17" s="141">
        <v>5</v>
      </c>
      <c r="B17" s="147" t="s">
        <v>170</v>
      </c>
      <c r="C17" s="137"/>
      <c r="D17" s="147"/>
      <c r="E17" s="148"/>
      <c r="F17" s="147"/>
      <c r="G17" s="147"/>
      <c r="H17" s="147"/>
    </row>
    <row r="18" spans="1:8" x14ac:dyDescent="0.25">
      <c r="A18" s="141"/>
      <c r="B18" s="147"/>
      <c r="C18" s="137"/>
      <c r="D18" s="147"/>
      <c r="E18" s="148"/>
      <c r="F18" s="147"/>
      <c r="G18" s="147"/>
      <c r="H18" s="147"/>
    </row>
    <row r="19" spans="1:8" x14ac:dyDescent="0.25">
      <c r="A19" s="168" t="s">
        <v>171</v>
      </c>
      <c r="B19" s="168"/>
      <c r="C19" s="168"/>
      <c r="D19" s="168"/>
      <c r="E19" s="168"/>
      <c r="F19" s="168"/>
      <c r="G19" s="168"/>
      <c r="H19" s="168"/>
    </row>
    <row r="20" spans="1:8" x14ac:dyDescent="0.25">
      <c r="A20" s="147"/>
      <c r="B20" s="147"/>
      <c r="C20" s="147"/>
      <c r="D20" s="149" t="s">
        <v>172</v>
      </c>
      <c r="E20" s="149"/>
      <c r="F20" s="150" t="s">
        <v>173</v>
      </c>
      <c r="G20" s="149"/>
      <c r="H20" s="149" t="s">
        <v>174</v>
      </c>
    </row>
    <row r="21" spans="1:8" x14ac:dyDescent="0.25">
      <c r="A21" s="151">
        <v>1</v>
      </c>
      <c r="B21" s="147" t="s">
        <v>175</v>
      </c>
      <c r="C21" s="147"/>
      <c r="D21" s="152">
        <v>0.02</v>
      </c>
      <c r="E21" s="152"/>
      <c r="F21" s="153">
        <v>0</v>
      </c>
      <c r="G21" s="147"/>
      <c r="H21" s="152">
        <f>F21*D21</f>
        <v>0</v>
      </c>
    </row>
    <row r="22" spans="1:8" x14ac:dyDescent="0.25">
      <c r="A22" s="151">
        <v>2</v>
      </c>
      <c r="B22" s="147" t="s">
        <v>176</v>
      </c>
      <c r="C22" s="147"/>
      <c r="D22" s="152">
        <v>1.5699999999999999E-2</v>
      </c>
      <c r="E22" s="152"/>
      <c r="F22" s="153">
        <v>0</v>
      </c>
      <c r="G22" s="147"/>
      <c r="H22" s="152">
        <f t="shared" ref="H22:H28" si="0">F22*D22</f>
        <v>0</v>
      </c>
    </row>
    <row r="23" spans="1:8" x14ac:dyDescent="0.25">
      <c r="A23" s="151">
        <v>3</v>
      </c>
      <c r="B23" s="147" t="s">
        <v>177</v>
      </c>
      <c r="C23" s="147"/>
      <c r="D23" s="152">
        <v>1.26E-2</v>
      </c>
      <c r="E23" s="152"/>
      <c r="F23" s="153">
        <v>0</v>
      </c>
      <c r="G23" s="147"/>
      <c r="H23" s="152">
        <f t="shared" si="0"/>
        <v>0</v>
      </c>
    </row>
    <row r="24" spans="1:8" x14ac:dyDescent="0.25">
      <c r="A24" s="151">
        <v>4</v>
      </c>
      <c r="B24" s="147" t="s">
        <v>178</v>
      </c>
      <c r="C24" s="147"/>
      <c r="D24" s="152">
        <v>1.7399999999999999E-2</v>
      </c>
      <c r="E24" s="152"/>
      <c r="F24" s="153">
        <v>0</v>
      </c>
      <c r="G24" s="147"/>
      <c r="H24" s="152">
        <f t="shared" si="0"/>
        <v>0</v>
      </c>
    </row>
    <row r="25" spans="1:8" x14ac:dyDescent="0.25">
      <c r="A25" s="151">
        <v>5</v>
      </c>
      <c r="B25" s="147" t="s">
        <v>179</v>
      </c>
      <c r="C25" s="147"/>
      <c r="D25" s="152">
        <v>1.26E-2</v>
      </c>
      <c r="E25" s="152"/>
      <c r="F25" s="153">
        <v>0</v>
      </c>
      <c r="G25" s="147"/>
      <c r="H25" s="152">
        <f t="shared" si="0"/>
        <v>0</v>
      </c>
    </row>
    <row r="26" spans="1:8" x14ac:dyDescent="0.25">
      <c r="A26" s="151">
        <v>6</v>
      </c>
      <c r="B26" s="147" t="s">
        <v>180</v>
      </c>
      <c r="C26" s="147"/>
      <c r="D26" s="152">
        <v>9.4000000000000004E-3</v>
      </c>
      <c r="E26" s="152"/>
      <c r="F26" s="153">
        <v>0</v>
      </c>
      <c r="G26" s="147"/>
      <c r="H26" s="152">
        <f t="shared" si="0"/>
        <v>0</v>
      </c>
    </row>
    <row r="27" spans="1:8" x14ac:dyDescent="0.25">
      <c r="A27" s="151">
        <v>7</v>
      </c>
      <c r="B27" s="147" t="s">
        <v>181</v>
      </c>
      <c r="C27" s="147"/>
      <c r="D27" s="152">
        <v>1.37E-2</v>
      </c>
      <c r="E27" s="152"/>
      <c r="F27" s="153">
        <v>0</v>
      </c>
      <c r="G27" s="147"/>
      <c r="H27" s="152">
        <f t="shared" si="0"/>
        <v>0</v>
      </c>
    </row>
    <row r="28" spans="1:8" x14ac:dyDescent="0.25">
      <c r="A28" s="151">
        <v>8</v>
      </c>
      <c r="B28" s="147" t="s">
        <v>182</v>
      </c>
      <c r="C28" s="147"/>
      <c r="D28" s="154">
        <v>1.0500000000000001E-2</v>
      </c>
      <c r="E28" s="152"/>
      <c r="F28" s="153">
        <v>0</v>
      </c>
      <c r="G28" s="147"/>
      <c r="H28" s="154">
        <f t="shared" si="0"/>
        <v>0</v>
      </c>
    </row>
    <row r="29" spans="1:8" x14ac:dyDescent="0.25">
      <c r="A29" s="147"/>
      <c r="B29" s="147"/>
      <c r="C29" s="147"/>
      <c r="D29" s="148">
        <f>SUM(D21:D28)</f>
        <v>0.1119</v>
      </c>
      <c r="E29" s="147"/>
      <c r="F29" s="155"/>
      <c r="G29" s="147"/>
      <c r="H29" s="148">
        <f>SUM(H21:H28)</f>
        <v>0</v>
      </c>
    </row>
    <row r="30" spans="1:8" x14ac:dyDescent="0.25">
      <c r="A30" s="156"/>
      <c r="B30" s="157" t="s">
        <v>183</v>
      </c>
      <c r="C30" s="137"/>
      <c r="D30" s="137"/>
      <c r="E30" s="137"/>
      <c r="F30" s="137"/>
      <c r="G30" s="137"/>
      <c r="H30" s="137"/>
    </row>
    <row r="31" spans="1:8" x14ac:dyDescent="0.25">
      <c r="A31" s="158">
        <v>1</v>
      </c>
      <c r="B31" s="159" t="s">
        <v>184</v>
      </c>
      <c r="C31" s="160"/>
      <c r="D31" s="160"/>
      <c r="E31" s="160"/>
      <c r="F31" s="160"/>
      <c r="G31" s="160"/>
      <c r="H31" s="160"/>
    </row>
    <row r="32" spans="1:8" x14ac:dyDescent="0.25">
      <c r="A32" s="158">
        <v>2</v>
      </c>
      <c r="B32" s="159"/>
      <c r="C32" s="160"/>
      <c r="D32" s="160"/>
      <c r="E32" s="161"/>
      <c r="F32" s="160"/>
      <c r="G32" s="160"/>
      <c r="H32" s="160"/>
    </row>
    <row r="33" spans="1:8" x14ac:dyDescent="0.25">
      <c r="A33" s="158">
        <v>3</v>
      </c>
      <c r="B33" s="162"/>
      <c r="C33" s="160"/>
      <c r="D33" s="160"/>
      <c r="E33" s="160"/>
      <c r="F33" s="160"/>
      <c r="G33" s="160"/>
      <c r="H33" s="160"/>
    </row>
    <row r="34" spans="1:8" x14ac:dyDescent="0.25">
      <c r="A34" s="158">
        <v>4</v>
      </c>
      <c r="B34" s="163"/>
      <c r="C34" s="160"/>
      <c r="D34" s="160"/>
      <c r="E34" s="160"/>
      <c r="F34" s="160"/>
      <c r="G34" s="160"/>
      <c r="H34" s="160"/>
    </row>
    <row r="35" spans="1:8" x14ac:dyDescent="0.25">
      <c r="A35" s="158">
        <v>5</v>
      </c>
      <c r="B35" s="162"/>
      <c r="C35" s="160"/>
      <c r="D35" s="160"/>
      <c r="E35" s="160"/>
      <c r="F35" s="160"/>
      <c r="G35" s="160"/>
      <c r="H35" s="160"/>
    </row>
    <row r="36" spans="1:8" x14ac:dyDescent="0.25">
      <c r="A36" s="158">
        <v>6</v>
      </c>
      <c r="C36" s="160"/>
      <c r="D36" s="160"/>
      <c r="E36" s="160"/>
      <c r="F36" s="160"/>
      <c r="G36" s="160"/>
      <c r="H36" s="160"/>
    </row>
    <row r="37" spans="1:8" x14ac:dyDescent="0.25">
      <c r="A37" s="158">
        <v>7</v>
      </c>
      <c r="B37" s="162"/>
      <c r="C37" s="160"/>
      <c r="D37" s="160"/>
      <c r="E37" s="160"/>
      <c r="F37" s="160"/>
      <c r="G37" s="160"/>
      <c r="H37" s="160"/>
    </row>
    <row r="38" spans="1:8" x14ac:dyDescent="0.25">
      <c r="A38" s="158">
        <v>8</v>
      </c>
      <c r="B38" s="162"/>
      <c r="C38" s="160"/>
      <c r="D38" s="160"/>
      <c r="E38" s="160"/>
      <c r="F38" s="160"/>
      <c r="G38" s="160"/>
      <c r="H38" s="160"/>
    </row>
  </sheetData>
  <mergeCells count="2">
    <mergeCell ref="A2:H2"/>
    <mergeCell ref="A19:H19"/>
  </mergeCells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datasnipper xmlns="http://datasnipper" workbookId="f2ea3db9-e617-45c9-af28-df939b7cdd29" included="false" dataSnipperSheetDeleted="false" guid="97a8fda3-7375-4b59-8314-14c2a7a5ea71" revision="2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9469099ACCE24281BFE895D25D2E02" ma:contentTypeVersion="20" ma:contentTypeDescription="Een nieuw document maken." ma:contentTypeScope="" ma:versionID="528d89578483c4cc0c14e5ff473746e2">
  <xsd:schema xmlns:xsd="http://www.w3.org/2001/XMLSchema" xmlns:xs="http://www.w3.org/2001/XMLSchema" xmlns:p="http://schemas.microsoft.com/office/2006/metadata/properties" xmlns:ns2="6c2cb54b-f483-4fe9-aff6-6698c08f5773" xmlns:ns3="0d2612a0-a673-463d-ae7c-03c520b190d6" targetNamespace="http://schemas.microsoft.com/office/2006/metadata/properties" ma:root="true" ma:fieldsID="d078d554ca4cb91e69fba035eb5fc5d5" ns2:_="" ns3:_="">
    <xsd:import namespace="6c2cb54b-f483-4fe9-aff6-6698c08f5773"/>
    <xsd:import namespace="0d2612a0-a673-463d-ae7c-03c520b190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2cb54b-f483-4fe9-aff6-6698c08f57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1cdef4cb-f58e-43d1-80b7-3a35bfb488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Goedkeurd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Antwoorden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Goedkeuring auteu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Goedkeuringsstatus" ma:internalName="_Approval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2612a0-a673-463d-ae7c-03c520b190d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1b7a9d5-ecef-465f-8e5f-2152768e3352}" ma:internalName="TaxCatchAll" ma:showField="CatchAllData" ma:web="0d2612a0-a673-463d-ae7c-03c520b190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2cb54b-f483-4fe9-aff6-6698c08f5773">
      <Terms xmlns="http://schemas.microsoft.com/office/infopath/2007/PartnerControls"/>
    </lcf76f155ced4ddcb4097134ff3c332f>
    <TaxCatchAll xmlns="0d2612a0-a673-463d-ae7c-03c520b190d6" xsi:nil="true"/>
    <_ApprovalAssignedTo xmlns="6c2cb54b-f483-4fe9-aff6-6698c08f5773">
      <UserInfo>
        <DisplayName/>
        <AccountId xsi:nil="true"/>
        <AccountType/>
      </UserInfo>
    </_ApprovalAssignedTo>
    <_ApprovalSentBy xmlns="6c2cb54b-f483-4fe9-aff6-6698c08f5773">
      <UserInfo>
        <DisplayName/>
        <AccountId xsi:nil="true"/>
        <AccountType/>
      </UserInfo>
    </_ApprovalSentBy>
    <_ApprovalStatus xmlns="6c2cb54b-f483-4fe9-aff6-6698c08f5773">0</_ApprovalStatus>
    <_ApprovalRespondedBy xmlns="6c2cb54b-f483-4fe9-aff6-6698c08f5773">
      <UserInfo>
        <DisplayName/>
        <AccountId xsi:nil="true"/>
        <AccountType/>
      </UserInfo>
    </_ApprovalRespondedBy>
  </documentManagement>
</p:properties>
</file>

<file path=customXml/itemProps1.xml><?xml version="1.0" encoding="utf-8"?>
<ds:datastoreItem xmlns:ds="http://schemas.openxmlformats.org/officeDocument/2006/customXml" ds:itemID="{EEA9541A-DB94-4BF8-8250-F1C00B41E4F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5BA560B-CC0C-4443-AA3A-4CF792A7F5A5}">
  <ds:schemaRefs>
    <ds:schemaRef ds:uri="http://datasnipper"/>
  </ds:schemaRefs>
</ds:datastoreItem>
</file>

<file path=customXml/itemProps3.xml><?xml version="1.0" encoding="utf-8"?>
<ds:datastoreItem xmlns:ds="http://schemas.openxmlformats.org/officeDocument/2006/customXml" ds:itemID="{72DC3BD8-29C4-4756-B434-4E7C7B9FC6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2cb54b-f483-4fe9-aff6-6698c08f5773"/>
    <ds:schemaRef ds:uri="0d2612a0-a673-463d-ae7c-03c520b190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411BC10-CBA0-4AD6-89CA-4C52AE66B250}">
  <ds:schemaRefs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6c2cb54b-f483-4fe9-aff6-6698c08f5773"/>
    <ds:schemaRef ds:uri="http://purl.org/dc/terms/"/>
    <ds:schemaRef ds:uri="0d2612a0-a673-463d-ae7c-03c520b190d6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Prognose 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Aca</dc:creator>
  <cp:lastModifiedBy>Bram Verhagen</cp:lastModifiedBy>
  <dcterms:created xsi:type="dcterms:W3CDTF">2019-06-28T07:44:59Z</dcterms:created>
  <dcterms:modified xsi:type="dcterms:W3CDTF">2026-03-27T09:48:53Z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0x010100619469099ACCE24281BFE895D25D2E02</vt:lpwstr>
  </property>
  <property fmtid="{D5CDD505-2E9C-101B-9397-08002B2CF9AE}" pid="3" name="Order">
    <vt:r8>100</vt:r8>
  </property>
  <property fmtid="{D5CDD505-2E9C-101B-9397-08002B2CF9AE}" pid="4" name="MediaServiceImageTags">
    <vt:lpwstr/>
  </property>
</Properties>
</file>